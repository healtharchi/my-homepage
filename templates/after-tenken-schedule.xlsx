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点検予定表" state="visible" r:id="rId4"/>
    <sheet sheetId="2" name="点検項目" state="visible" r:id="rId5"/>
    <sheet sheetId="3" name="使い方" state="visible" r:id="rId6"/>
  </sheets>
  <calcPr calcId="171027"/>
</workbook>
</file>

<file path=xl/sharedStrings.xml><?xml version="1.0" encoding="utf-8"?>
<sst xmlns="http://schemas.openxmlformats.org/spreadsheetml/2006/main" count="181" uniqueCount="46">
  <si>
    <t>アフター点検 スケジュール管理表</t>
  </si>
  <si>
    <t>引き渡し日を入れると、各点検の予定月が自動で入ります。点検を実施したら「実施日」欄に記入してください。</t>
  </si>
  <si>
    <t>No</t>
  </si>
  <si>
    <t>お施主様名</t>
  </si>
  <si>
    <t>工事名・住所</t>
  </si>
  <si>
    <t>引き渡し日</t>
  </si>
  <si>
    <t>6ヶ月</t>
  </si>
  <si>
    <t>1年</t>
  </si>
  <si>
    <t>2年</t>
  </si>
  <si>
    <t>5年</t>
  </si>
  <si>
    <t>10年</t>
  </si>
  <si>
    <t>直近の実施日・メモ</t>
  </si>
  <si>
    <t/>
  </si>
  <si>
    <t>定期点検 チェック項目（時期別の目安）</t>
  </si>
  <si>
    <t>6ヶ月・1年点検（初期の動き・乾燥収縮が出る時期）</t>
  </si>
  <si>
    <t>区分</t>
  </si>
  <si>
    <t>確認内容</t>
  </si>
  <si>
    <t>判定</t>
  </si>
  <si>
    <t>メモ</t>
  </si>
  <si>
    <t>建具の建付け・開閉調整（木製建具は最も動く時期）</t>
  </si>
  <si>
    <t>床鳴り・きしみの有無</t>
  </si>
  <si>
    <t>クロスの隙間・浮き（乾燥収縮によるもの・1年点検でまとめて補修が一般的）</t>
  </si>
  <si>
    <t>設備の動作（給湯器・換気・水栓の水漏れ）</t>
  </si>
  <si>
    <t>外部：シーリングの状態・雨樋の詰まり</t>
  </si>
  <si>
    <t>お住まいになっての不具合・気になる点のヒアリング</t>
  </si>
  <si>
    <t>2年点検（保証切り替わり前の総点検）</t>
  </si>
  <si>
    <t>内装仕上げ・建具まわりの最終調整（短期保証の期限前に総ざらい）</t>
  </si>
  <si>
    <t>外壁のひび・シーリングの切れ</t>
  </si>
  <si>
    <t>バルコニー・防水部の状態</t>
  </si>
  <si>
    <t>設備全般の動作確認</t>
  </si>
  <si>
    <t>5年・10年点検（防水・外装・構造の節目）</t>
  </si>
  <si>
    <t>屋根：割れ・ズレ・板金の浮き・棟の状態</t>
  </si>
  <si>
    <t>外壁：ひび割れ・塗膜の劣化・シーリングの打ち替え時期の判断</t>
  </si>
  <si>
    <t>バルコニー防水：トップコートの劣化・排水口まわり</t>
  </si>
  <si>
    <t>床下：水漏れ跡・蟻道の有無（防蟻の再処理時期＝おおむね5年が目安）</t>
  </si>
  <si>
    <t>10年目：瑕疵担保責任保険の期限前に、構造・防水の総点検と外装メンテナンスのご提案</t>
  </si>
  <si>
    <t>アフター点検スケジュール表 の使い方</t>
  </si>
  <si>
    <t>3ステップ</t>
  </si>
  <si>
    <t>1．引き渡しが済んだら、その日のうちに「点検予定表」へ1行追加する（引き渡し日を入れれば6ヶ月〜10年の予定月は自動で入ります）。</t>
  </si>
  <si>
    <t>2．月初にこの表を開き、当月が予定月の物件へ点検の案内を出す（電話・ハガキ・LINEなど自社の方法で）。</t>
  </si>
  <si>
    <t>3．点検したら「点検項目」シートで確認し、実施日とメモを予定表に戻す。要補修は担当と期限を決めて追いかける。</t>
  </si>
  <si>
    <t>実務のポイント</t>
  </si>
  <si>
    <t>・アフター点検が漏れる原因は、悪意ではなく「新規の現場が常に優先される構造」です。引き渡しの日に10年分の予定を書いてしまえば、記憶に頼らずに済みます。</t>
  </si>
  <si>
    <t>・点検は不具合探しではなく、次の仕事の入口でもあります。5年・10年の外装メンテナンス提案は、点検の実績があってこそ自然に出せます。</t>
  </si>
  <si>
    <t>・保証や点検の時期・内容は自社の保証書・約款に合わせて列を調整してください（この表の時期は一般的な目安です）。</t>
  </si>
  <si>
    <t>配布元：HEALTH ARCHI（https://healtharchi.com/）　一級建築士・建設業実務17年の経験から作成。改変・社内利用は自由です（再配布・販売はご遠慮ください）。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</si>
</sst>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yyyy/m"/>
  </numFmts>
  <fonts count="7" x14ac:knownFonts="1">
    <font>
      <color theme="1"/>
      <family val="2"/>
      <scheme val="minor"/>
      <sz val="11"/>
      <name val="Calibri"/>
    </font>
    <font>
      <b/>
      <color rgb="FF1B2B4B"/>
      <sz val="16"/>
      <name val="游ゴシック"/>
    </font>
    <font>
      <sz val="9"/>
      <name val="游ゴシック"/>
    </font>
    <font>
      <b/>
      <sz val="11"/>
      <name val="游ゴシック"/>
    </font>
    <font>
      <sz val="11"/>
      <name val="游ゴシック"/>
    </font>
    <font>
      <b/>
      <color rgb="FF1B2B4B"/>
      <sz val="13"/>
      <name val="游ゴシック"/>
    </font>
    <font>
      <color rgb="FF7A7875"/>
      <sz val="9"/>
      <name val="游ゴシック"/>
    </font>
  </fonts>
  <fills count="3">
    <fill>
      <patternFill patternType="none"/>
    </fill>
    <fill>
      <patternFill patternType="gray125"/>
    </fill>
    <fill>
      <patternFill patternType="solid">
        <fgColor rgb="FFF2F0E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FormatPr defaultRowHeight="15" outlineLevelRow="0" outlineLevelCol="0" x14ac:dyDescent="55"/>
  <cols>
    <col min="1" max="1" width="4.5" customWidth="1"/>
    <col min="2" max="2" width="18" customWidth="1"/>
    <col min="3" max="3" width="16" customWidth="1"/>
    <col min="4" max="4" width="14" customWidth="1"/>
    <col min="5" max="9" width="13" customWidth="1"/>
    <col min="10" max="10" width="20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>
        <v>1</v>
      </c>
      <c r="B5" s="5" t="s">
        <v>12</v>
      </c>
      <c r="C5" s="5" t="s">
        <v>12</v>
      </c>
      <c r="D5" s="6" t="s">
        <v>12</v>
      </c>
      <c r="E5" s="7">
        <f>IF($D5="","",EDATE($D5,6))</f>
      </c>
      <c r="F5" s="7">
        <f>IF($D5="","",EDATE($D5,12))</f>
      </c>
      <c r="G5" s="7">
        <f>IF($D5="","",EDATE($D5,24))</f>
      </c>
      <c r="H5" s="7">
        <f>IF($D5="","",EDATE($D5,60))</f>
      </c>
      <c r="I5" s="7">
        <f>IF($D5="","",EDATE($D5,120))</f>
      </c>
      <c r="J5" s="2" t="s">
        <v>12</v>
      </c>
    </row>
    <row r="6" ht="22" customHeight="1" spans="1:10" x14ac:dyDescent="0.25">
      <c r="A6" s="4">
        <v>2</v>
      </c>
      <c r="B6" s="5" t="s">
        <v>12</v>
      </c>
      <c r="C6" s="5" t="s">
        <v>12</v>
      </c>
      <c r="D6" s="6" t="s">
        <v>12</v>
      </c>
      <c r="E6" s="7">
        <f>IF($D6="","",EDATE($D6,6))</f>
      </c>
      <c r="F6" s="7">
        <f>IF($D6="","",EDATE($D6,12))</f>
      </c>
      <c r="G6" s="7">
        <f>IF($D6="","",EDATE($D6,24))</f>
      </c>
      <c r="H6" s="7">
        <f>IF($D6="","",EDATE($D6,60))</f>
      </c>
      <c r="I6" s="7">
        <f>IF($D6="","",EDATE($D6,120))</f>
      </c>
      <c r="J6" s="2" t="s">
        <v>12</v>
      </c>
    </row>
    <row r="7" ht="22" customHeight="1" spans="1:10" x14ac:dyDescent="0.25">
      <c r="A7" s="4">
        <v>3</v>
      </c>
      <c r="B7" s="5" t="s">
        <v>12</v>
      </c>
      <c r="C7" s="5" t="s">
        <v>12</v>
      </c>
      <c r="D7" s="6" t="s">
        <v>12</v>
      </c>
      <c r="E7" s="7">
        <f>IF($D7="","",EDATE($D7,6))</f>
      </c>
      <c r="F7" s="7">
        <f>IF($D7="","",EDATE($D7,12))</f>
      </c>
      <c r="G7" s="7">
        <f>IF($D7="","",EDATE($D7,24))</f>
      </c>
      <c r="H7" s="7">
        <f>IF($D7="","",EDATE($D7,60))</f>
      </c>
      <c r="I7" s="7">
        <f>IF($D7="","",EDATE($D7,120))</f>
      </c>
      <c r="J7" s="2" t="s">
        <v>12</v>
      </c>
    </row>
    <row r="8" ht="22" customHeight="1" spans="1:10" x14ac:dyDescent="0.25">
      <c r="A8" s="4">
        <v>4</v>
      </c>
      <c r="B8" s="5" t="s">
        <v>12</v>
      </c>
      <c r="C8" s="5" t="s">
        <v>12</v>
      </c>
      <c r="D8" s="6" t="s">
        <v>12</v>
      </c>
      <c r="E8" s="7">
        <f>IF($D8="","",EDATE($D8,6))</f>
      </c>
      <c r="F8" s="7">
        <f>IF($D8="","",EDATE($D8,12))</f>
      </c>
      <c r="G8" s="7">
        <f>IF($D8="","",EDATE($D8,24))</f>
      </c>
      <c r="H8" s="7">
        <f>IF($D8="","",EDATE($D8,60))</f>
      </c>
      <c r="I8" s="7">
        <f>IF($D8="","",EDATE($D8,120))</f>
      </c>
      <c r="J8" s="2" t="s">
        <v>12</v>
      </c>
    </row>
    <row r="9" ht="22" customHeight="1" spans="1:10" x14ac:dyDescent="0.25">
      <c r="A9" s="4">
        <v>5</v>
      </c>
      <c r="B9" s="5" t="s">
        <v>12</v>
      </c>
      <c r="C9" s="5" t="s">
        <v>12</v>
      </c>
      <c r="D9" s="6" t="s">
        <v>12</v>
      </c>
      <c r="E9" s="7">
        <f>IF($D9="","",EDATE($D9,6))</f>
      </c>
      <c r="F9" s="7">
        <f>IF($D9="","",EDATE($D9,12))</f>
      </c>
      <c r="G9" s="7">
        <f>IF($D9="","",EDATE($D9,24))</f>
      </c>
      <c r="H9" s="7">
        <f>IF($D9="","",EDATE($D9,60))</f>
      </c>
      <c r="I9" s="7">
        <f>IF($D9="","",EDATE($D9,120))</f>
      </c>
      <c r="J9" s="2" t="s">
        <v>12</v>
      </c>
    </row>
    <row r="10" ht="22" customHeight="1" spans="1:10" x14ac:dyDescent="0.25">
      <c r="A10" s="4">
        <v>6</v>
      </c>
      <c r="B10" s="5" t="s">
        <v>12</v>
      </c>
      <c r="C10" s="5" t="s">
        <v>12</v>
      </c>
      <c r="D10" s="6" t="s">
        <v>12</v>
      </c>
      <c r="E10" s="7">
        <f>IF($D10="","",EDATE($D10,6))</f>
      </c>
      <c r="F10" s="7">
        <f>IF($D10="","",EDATE($D10,12))</f>
      </c>
      <c r="G10" s="7">
        <f>IF($D10="","",EDATE($D10,24))</f>
      </c>
      <c r="H10" s="7">
        <f>IF($D10="","",EDATE($D10,60))</f>
      </c>
      <c r="I10" s="7">
        <f>IF($D10="","",EDATE($D10,120))</f>
      </c>
      <c r="J10" s="2" t="s">
        <v>12</v>
      </c>
    </row>
    <row r="11" ht="22" customHeight="1" spans="1:10" x14ac:dyDescent="0.25">
      <c r="A11" s="4">
        <v>7</v>
      </c>
      <c r="B11" s="5" t="s">
        <v>12</v>
      </c>
      <c r="C11" s="5" t="s">
        <v>12</v>
      </c>
      <c r="D11" s="6" t="s">
        <v>12</v>
      </c>
      <c r="E11" s="7">
        <f>IF($D11="","",EDATE($D11,6))</f>
      </c>
      <c r="F11" s="7">
        <f>IF($D11="","",EDATE($D11,12))</f>
      </c>
      <c r="G11" s="7">
        <f>IF($D11="","",EDATE($D11,24))</f>
      </c>
      <c r="H11" s="7">
        <f>IF($D11="","",EDATE($D11,60))</f>
      </c>
      <c r="I11" s="7">
        <f>IF($D11="","",EDATE($D11,120))</f>
      </c>
      <c r="J11" s="2" t="s">
        <v>12</v>
      </c>
    </row>
    <row r="12" ht="22" customHeight="1" spans="1:10" x14ac:dyDescent="0.25">
      <c r="A12" s="4">
        <v>8</v>
      </c>
      <c r="B12" s="5" t="s">
        <v>12</v>
      </c>
      <c r="C12" s="5" t="s">
        <v>12</v>
      </c>
      <c r="D12" s="6" t="s">
        <v>12</v>
      </c>
      <c r="E12" s="7">
        <f>IF($D12="","",EDATE($D12,6))</f>
      </c>
      <c r="F12" s="7">
        <f>IF($D12="","",EDATE($D12,12))</f>
      </c>
      <c r="G12" s="7">
        <f>IF($D12="","",EDATE($D12,24))</f>
      </c>
      <c r="H12" s="7">
        <f>IF($D12="","",EDATE($D12,60))</f>
      </c>
      <c r="I12" s="7">
        <f>IF($D12="","",EDATE($D12,120))</f>
      </c>
      <c r="J12" s="2" t="s">
        <v>12</v>
      </c>
    </row>
    <row r="13" ht="22" customHeight="1" spans="1:10" x14ac:dyDescent="0.25">
      <c r="A13" s="4">
        <v>9</v>
      </c>
      <c r="B13" s="5" t="s">
        <v>12</v>
      </c>
      <c r="C13" s="5" t="s">
        <v>12</v>
      </c>
      <c r="D13" s="6" t="s">
        <v>12</v>
      </c>
      <c r="E13" s="7">
        <f>IF($D13="","",EDATE($D13,6))</f>
      </c>
      <c r="F13" s="7">
        <f>IF($D13="","",EDATE($D13,12))</f>
      </c>
      <c r="G13" s="7">
        <f>IF($D13="","",EDATE($D13,24))</f>
      </c>
      <c r="H13" s="7">
        <f>IF($D13="","",EDATE($D13,60))</f>
      </c>
      <c r="I13" s="7">
        <f>IF($D13="","",EDATE($D13,120))</f>
      </c>
      <c r="J13" s="2" t="s">
        <v>12</v>
      </c>
    </row>
    <row r="14" ht="22" customHeight="1" spans="1:10" x14ac:dyDescent="0.25">
      <c r="A14" s="4">
        <v>10</v>
      </c>
      <c r="B14" s="5" t="s">
        <v>12</v>
      </c>
      <c r="C14" s="5" t="s">
        <v>12</v>
      </c>
      <c r="D14" s="6" t="s">
        <v>12</v>
      </c>
      <c r="E14" s="7">
        <f>IF($D14="","",EDATE($D14,6))</f>
      </c>
      <c r="F14" s="7">
        <f>IF($D14="","",EDATE($D14,12))</f>
      </c>
      <c r="G14" s="7">
        <f>IF($D14="","",EDATE($D14,24))</f>
      </c>
      <c r="H14" s="7">
        <f>IF($D14="","",EDATE($D14,60))</f>
      </c>
      <c r="I14" s="7">
        <f>IF($D14="","",EDATE($D14,120))</f>
      </c>
      <c r="J14" s="2" t="s">
        <v>12</v>
      </c>
    </row>
    <row r="15" ht="22" customHeight="1" spans="1:10" x14ac:dyDescent="0.25">
      <c r="A15" s="4">
        <v>11</v>
      </c>
      <c r="B15" s="5" t="s">
        <v>12</v>
      </c>
      <c r="C15" s="5" t="s">
        <v>12</v>
      </c>
      <c r="D15" s="6" t="s">
        <v>12</v>
      </c>
      <c r="E15" s="7">
        <f>IF($D15="","",EDATE($D15,6))</f>
      </c>
      <c r="F15" s="7">
        <f>IF($D15="","",EDATE($D15,12))</f>
      </c>
      <c r="G15" s="7">
        <f>IF($D15="","",EDATE($D15,24))</f>
      </c>
      <c r="H15" s="7">
        <f>IF($D15="","",EDATE($D15,60))</f>
      </c>
      <c r="I15" s="7">
        <f>IF($D15="","",EDATE($D15,120))</f>
      </c>
      <c r="J15" s="2" t="s">
        <v>12</v>
      </c>
    </row>
    <row r="16" ht="22" customHeight="1" spans="1:10" x14ac:dyDescent="0.25">
      <c r="A16" s="4">
        <v>12</v>
      </c>
      <c r="B16" s="5" t="s">
        <v>12</v>
      </c>
      <c r="C16" s="5" t="s">
        <v>12</v>
      </c>
      <c r="D16" s="6" t="s">
        <v>12</v>
      </c>
      <c r="E16" s="7">
        <f>IF($D16="","",EDATE($D16,6))</f>
      </c>
      <c r="F16" s="7">
        <f>IF($D16="","",EDATE($D16,12))</f>
      </c>
      <c r="G16" s="7">
        <f>IF($D16="","",EDATE($D16,24))</f>
      </c>
      <c r="H16" s="7">
        <f>IF($D16="","",EDATE($D16,60))</f>
      </c>
      <c r="I16" s="7">
        <f>IF($D16="","",EDATE($D16,120))</f>
      </c>
      <c r="J16" s="2" t="s">
        <v>12</v>
      </c>
    </row>
    <row r="17" ht="22" customHeight="1" spans="1:10" x14ac:dyDescent="0.25">
      <c r="A17" s="4">
        <v>13</v>
      </c>
      <c r="B17" s="5" t="s">
        <v>12</v>
      </c>
      <c r="C17" s="5" t="s">
        <v>12</v>
      </c>
      <c r="D17" s="6" t="s">
        <v>12</v>
      </c>
      <c r="E17" s="7">
        <f>IF($D17="","",EDATE($D17,6))</f>
      </c>
      <c r="F17" s="7">
        <f>IF($D17="","",EDATE($D17,12))</f>
      </c>
      <c r="G17" s="7">
        <f>IF($D17="","",EDATE($D17,24))</f>
      </c>
      <c r="H17" s="7">
        <f>IF($D17="","",EDATE($D17,60))</f>
      </c>
      <c r="I17" s="7">
        <f>IF($D17="","",EDATE($D17,120))</f>
      </c>
      <c r="J17" s="2" t="s">
        <v>12</v>
      </c>
    </row>
    <row r="18" ht="22" customHeight="1" spans="1:10" x14ac:dyDescent="0.25">
      <c r="A18" s="4">
        <v>14</v>
      </c>
      <c r="B18" s="5" t="s">
        <v>12</v>
      </c>
      <c r="C18" s="5" t="s">
        <v>12</v>
      </c>
      <c r="D18" s="6" t="s">
        <v>12</v>
      </c>
      <c r="E18" s="7">
        <f>IF($D18="","",EDATE($D18,6))</f>
      </c>
      <c r="F18" s="7">
        <f>IF($D18="","",EDATE($D18,12))</f>
      </c>
      <c r="G18" s="7">
        <f>IF($D18="","",EDATE($D18,24))</f>
      </c>
      <c r="H18" s="7">
        <f>IF($D18="","",EDATE($D18,60))</f>
      </c>
      <c r="I18" s="7">
        <f>IF($D18="","",EDATE($D18,120))</f>
      </c>
      <c r="J18" s="2" t="s">
        <v>12</v>
      </c>
    </row>
    <row r="19" ht="22" customHeight="1" spans="1:10" x14ac:dyDescent="0.25">
      <c r="A19" s="4">
        <v>15</v>
      </c>
      <c r="B19" s="5" t="s">
        <v>12</v>
      </c>
      <c r="C19" s="5" t="s">
        <v>12</v>
      </c>
      <c r="D19" s="6" t="s">
        <v>12</v>
      </c>
      <c r="E19" s="7">
        <f>IF($D19="","",EDATE($D19,6))</f>
      </c>
      <c r="F19" s="7">
        <f>IF($D19="","",EDATE($D19,12))</f>
      </c>
      <c r="G19" s="7">
        <f>IF($D19="","",EDATE($D19,24))</f>
      </c>
      <c r="H19" s="7">
        <f>IF($D19="","",EDATE($D19,60))</f>
      </c>
      <c r="I19" s="7">
        <f>IF($D19="","",EDATE($D19,120))</f>
      </c>
      <c r="J19" s="2" t="s">
        <v>12</v>
      </c>
    </row>
    <row r="20" ht="22" customHeight="1" spans="1:10" x14ac:dyDescent="0.25">
      <c r="A20" s="4">
        <v>16</v>
      </c>
      <c r="B20" s="5" t="s">
        <v>12</v>
      </c>
      <c r="C20" s="5" t="s">
        <v>12</v>
      </c>
      <c r="D20" s="6" t="s">
        <v>12</v>
      </c>
      <c r="E20" s="7">
        <f>IF($D20="","",EDATE($D20,6))</f>
      </c>
      <c r="F20" s="7">
        <f>IF($D20="","",EDATE($D20,12))</f>
      </c>
      <c r="G20" s="7">
        <f>IF($D20="","",EDATE($D20,24))</f>
      </c>
      <c r="H20" s="7">
        <f>IF($D20="","",EDATE($D20,60))</f>
      </c>
      <c r="I20" s="7">
        <f>IF($D20="","",EDATE($D20,120))</f>
      </c>
      <c r="J20" s="2" t="s">
        <v>12</v>
      </c>
    </row>
    <row r="21" ht="22" customHeight="1" spans="1:10" x14ac:dyDescent="0.25">
      <c r="A21" s="4">
        <v>17</v>
      </c>
      <c r="B21" s="5" t="s">
        <v>12</v>
      </c>
      <c r="C21" s="5" t="s">
        <v>12</v>
      </c>
      <c r="D21" s="6" t="s">
        <v>12</v>
      </c>
      <c r="E21" s="7">
        <f>IF($D21="","",EDATE($D21,6))</f>
      </c>
      <c r="F21" s="7">
        <f>IF($D21="","",EDATE($D21,12))</f>
      </c>
      <c r="G21" s="7">
        <f>IF($D21="","",EDATE($D21,24))</f>
      </c>
      <c r="H21" s="7">
        <f>IF($D21="","",EDATE($D21,60))</f>
      </c>
      <c r="I21" s="7">
        <f>IF($D21="","",EDATE($D21,120))</f>
      </c>
      <c r="J21" s="2" t="s">
        <v>12</v>
      </c>
    </row>
    <row r="22" ht="22" customHeight="1" spans="1:10" x14ac:dyDescent="0.25">
      <c r="A22" s="4">
        <v>18</v>
      </c>
      <c r="B22" s="5" t="s">
        <v>12</v>
      </c>
      <c r="C22" s="5" t="s">
        <v>12</v>
      </c>
      <c r="D22" s="6" t="s">
        <v>12</v>
      </c>
      <c r="E22" s="7">
        <f>IF($D22="","",EDATE($D22,6))</f>
      </c>
      <c r="F22" s="7">
        <f>IF($D22="","",EDATE($D22,12))</f>
      </c>
      <c r="G22" s="7">
        <f>IF($D22="","",EDATE($D22,24))</f>
      </c>
      <c r="H22" s="7">
        <f>IF($D22="","",EDATE($D22,60))</f>
      </c>
      <c r="I22" s="7">
        <f>IF($D22="","",EDATE($D22,120))</f>
      </c>
      <c r="J22" s="2" t="s">
        <v>12</v>
      </c>
    </row>
    <row r="23" ht="22" customHeight="1" spans="1:10" x14ac:dyDescent="0.25">
      <c r="A23" s="4">
        <v>19</v>
      </c>
      <c r="B23" s="5" t="s">
        <v>12</v>
      </c>
      <c r="C23" s="5" t="s">
        <v>12</v>
      </c>
      <c r="D23" s="6" t="s">
        <v>12</v>
      </c>
      <c r="E23" s="7">
        <f>IF($D23="","",EDATE($D23,6))</f>
      </c>
      <c r="F23" s="7">
        <f>IF($D23="","",EDATE($D23,12))</f>
      </c>
      <c r="G23" s="7">
        <f>IF($D23="","",EDATE($D23,24))</f>
      </c>
      <c r="H23" s="7">
        <f>IF($D23="","",EDATE($D23,60))</f>
      </c>
      <c r="I23" s="7">
        <f>IF($D23="","",EDATE($D23,120))</f>
      </c>
      <c r="J23" s="2" t="s">
        <v>12</v>
      </c>
    </row>
    <row r="24" ht="22" customHeight="1" spans="1:10" x14ac:dyDescent="0.25">
      <c r="A24" s="4">
        <v>20</v>
      </c>
      <c r="B24" s="5" t="s">
        <v>12</v>
      </c>
      <c r="C24" s="5" t="s">
        <v>12</v>
      </c>
      <c r="D24" s="6" t="s">
        <v>12</v>
      </c>
      <c r="E24" s="7">
        <f>IF($D24="","",EDATE($D24,6))</f>
      </c>
      <c r="F24" s="7">
        <f>IF($D24="","",EDATE($D24,12))</f>
      </c>
      <c r="G24" s="7">
        <f>IF($D24="","",EDATE($D24,24))</f>
      </c>
      <c r="H24" s="7">
        <f>IF($D24="","",EDATE($D24,60))</f>
      </c>
      <c r="I24" s="7">
        <f>IF($D24="","",EDATE($D24,120))</f>
      </c>
      <c r="J24" s="2" t="s">
        <v>12</v>
      </c>
    </row>
  </sheetData>
  <mergeCells count="2">
    <mergeCell ref="A1:J1"/>
    <mergeCell ref="A2:J2"/>
  </mergeCells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FormatPr defaultRowHeight="15" outlineLevelRow="0" outlineLevelCol="0" x14ac:dyDescent="55"/>
  <cols>
    <col min="1" max="1" width="4.5" customWidth="1"/>
    <col min="2" max="2" width="12" customWidth="1"/>
    <col min="3" max="3" width="52" customWidth="1"/>
    <col min="4" max="4" width="10" customWidth="1"/>
    <col min="5" max="5" width="24" customWidth="1"/>
  </cols>
  <sheetData>
    <row r="1" ht="30" customHeight="1" spans="1:5" x14ac:dyDescent="0.25">
      <c r="A1" s="1" t="s">
        <v>13</v>
      </c>
      <c r="B1" s="1"/>
      <c r="C1" s="1"/>
      <c r="D1" s="1"/>
      <c r="E1" s="1"/>
    </row>
    <row r="3" spans="1:5" x14ac:dyDescent="0.25">
      <c r="A3" s="8" t="s">
        <v>14</v>
      </c>
      <c r="B3" s="8"/>
      <c r="C3" s="8"/>
      <c r="D3" s="8"/>
      <c r="E3" s="8"/>
    </row>
    <row r="4" spans="1:5" x14ac:dyDescent="0.25">
      <c r="A4" s="3" t="s">
        <v>2</v>
      </c>
      <c r="B4" s="3" t="s">
        <v>15</v>
      </c>
      <c r="C4" s="3" t="s">
        <v>16</v>
      </c>
      <c r="D4" s="3" t="s">
        <v>17</v>
      </c>
      <c r="E4" s="3" t="s">
        <v>18</v>
      </c>
    </row>
    <row r="5" ht="22" customHeight="1" spans="1:5" x14ac:dyDescent="0.25">
      <c r="A5" s="4">
        <v>1</v>
      </c>
      <c r="B5" s="9" t="s">
        <v>12</v>
      </c>
      <c r="C5" s="2" t="s">
        <v>19</v>
      </c>
      <c r="D5" s="4" t="s">
        <v>12</v>
      </c>
      <c r="E5" s="5" t="s">
        <v>12</v>
      </c>
    </row>
    <row r="6" ht="22" customHeight="1" spans="1:5" x14ac:dyDescent="0.25">
      <c r="A6" s="4">
        <v>2</v>
      </c>
      <c r="B6" s="9" t="s">
        <v>12</v>
      </c>
      <c r="C6" s="2" t="s">
        <v>20</v>
      </c>
      <c r="D6" s="4" t="s">
        <v>12</v>
      </c>
      <c r="E6" s="5" t="s">
        <v>12</v>
      </c>
    </row>
    <row r="7" ht="22" customHeight="1" spans="1:5" x14ac:dyDescent="0.25">
      <c r="A7" s="4">
        <v>3</v>
      </c>
      <c r="B7" s="9" t="s">
        <v>12</v>
      </c>
      <c r="C7" s="2" t="s">
        <v>21</v>
      </c>
      <c r="D7" s="4" t="s">
        <v>12</v>
      </c>
      <c r="E7" s="5" t="s">
        <v>12</v>
      </c>
    </row>
    <row r="8" ht="22" customHeight="1" spans="1:5" x14ac:dyDescent="0.25">
      <c r="A8" s="4">
        <v>4</v>
      </c>
      <c r="B8" s="9" t="s">
        <v>12</v>
      </c>
      <c r="C8" s="2" t="s">
        <v>22</v>
      </c>
      <c r="D8" s="4" t="s">
        <v>12</v>
      </c>
      <c r="E8" s="5" t="s">
        <v>12</v>
      </c>
    </row>
    <row r="9" ht="22" customHeight="1" spans="1:5" x14ac:dyDescent="0.25">
      <c r="A9" s="4">
        <v>5</v>
      </c>
      <c r="B9" s="9" t="s">
        <v>12</v>
      </c>
      <c r="C9" s="2" t="s">
        <v>23</v>
      </c>
      <c r="D9" s="4" t="s">
        <v>12</v>
      </c>
      <c r="E9" s="5" t="s">
        <v>12</v>
      </c>
    </row>
    <row r="10" ht="22" customHeight="1" spans="1:5" x14ac:dyDescent="0.25">
      <c r="A10" s="4">
        <v>6</v>
      </c>
      <c r="B10" s="9" t="s">
        <v>12</v>
      </c>
      <c r="C10" s="2" t="s">
        <v>24</v>
      </c>
      <c r="D10" s="4" t="s">
        <v>12</v>
      </c>
      <c r="E10" s="5" t="s">
        <v>12</v>
      </c>
    </row>
    <row r="12" spans="1:5" x14ac:dyDescent="0.25">
      <c r="A12" s="8" t="s">
        <v>25</v>
      </c>
      <c r="B12" s="8"/>
      <c r="C12" s="8"/>
      <c r="D12" s="8"/>
      <c r="E12" s="8"/>
    </row>
    <row r="13" spans="1:5" x14ac:dyDescent="0.25">
      <c r="A13" s="3" t="s">
        <v>2</v>
      </c>
      <c r="B13" s="3" t="s">
        <v>15</v>
      </c>
      <c r="C13" s="3" t="s">
        <v>16</v>
      </c>
      <c r="D13" s="3" t="s">
        <v>17</v>
      </c>
      <c r="E13" s="3" t="s">
        <v>18</v>
      </c>
    </row>
    <row r="14" ht="22" customHeight="1" spans="1:5" x14ac:dyDescent="0.25">
      <c r="A14" s="4">
        <v>1</v>
      </c>
      <c r="B14" s="9" t="s">
        <v>12</v>
      </c>
      <c r="C14" s="2" t="s">
        <v>26</v>
      </c>
      <c r="D14" s="4" t="s">
        <v>12</v>
      </c>
      <c r="E14" s="5" t="s">
        <v>12</v>
      </c>
    </row>
    <row r="15" ht="22" customHeight="1" spans="1:5" x14ac:dyDescent="0.25">
      <c r="A15" s="4">
        <v>2</v>
      </c>
      <c r="B15" s="9" t="s">
        <v>12</v>
      </c>
      <c r="C15" s="2" t="s">
        <v>27</v>
      </c>
      <c r="D15" s="4" t="s">
        <v>12</v>
      </c>
      <c r="E15" s="5" t="s">
        <v>12</v>
      </c>
    </row>
    <row r="16" ht="22" customHeight="1" spans="1:5" x14ac:dyDescent="0.25">
      <c r="A16" s="4">
        <v>3</v>
      </c>
      <c r="B16" s="9" t="s">
        <v>12</v>
      </c>
      <c r="C16" s="2" t="s">
        <v>28</v>
      </c>
      <c r="D16" s="4" t="s">
        <v>12</v>
      </c>
      <c r="E16" s="5" t="s">
        <v>12</v>
      </c>
    </row>
    <row r="17" ht="22" customHeight="1" spans="1:5" x14ac:dyDescent="0.25">
      <c r="A17" s="4">
        <v>4</v>
      </c>
      <c r="B17" s="9" t="s">
        <v>12</v>
      </c>
      <c r="C17" s="2" t="s">
        <v>29</v>
      </c>
      <c r="D17" s="4" t="s">
        <v>12</v>
      </c>
      <c r="E17" s="5" t="s">
        <v>12</v>
      </c>
    </row>
    <row r="19" spans="1:5" x14ac:dyDescent="0.25">
      <c r="A19" s="8" t="s">
        <v>30</v>
      </c>
      <c r="B19" s="8"/>
      <c r="C19" s="8"/>
      <c r="D19" s="8"/>
      <c r="E19" s="8"/>
    </row>
    <row r="20" spans="1:5" x14ac:dyDescent="0.25">
      <c r="A20" s="3" t="s">
        <v>2</v>
      </c>
      <c r="B20" s="3" t="s">
        <v>15</v>
      </c>
      <c r="C20" s="3" t="s">
        <v>16</v>
      </c>
      <c r="D20" s="3" t="s">
        <v>17</v>
      </c>
      <c r="E20" s="3" t="s">
        <v>18</v>
      </c>
    </row>
    <row r="21" ht="22" customHeight="1" spans="1:5" x14ac:dyDescent="0.25">
      <c r="A21" s="4">
        <v>1</v>
      </c>
      <c r="B21" s="9" t="s">
        <v>12</v>
      </c>
      <c r="C21" s="2" t="s">
        <v>31</v>
      </c>
      <c r="D21" s="4" t="s">
        <v>12</v>
      </c>
      <c r="E21" s="5" t="s">
        <v>12</v>
      </c>
    </row>
    <row r="22" ht="22" customHeight="1" spans="1:5" x14ac:dyDescent="0.25">
      <c r="A22" s="4">
        <v>2</v>
      </c>
      <c r="B22" s="9" t="s">
        <v>12</v>
      </c>
      <c r="C22" s="2" t="s">
        <v>32</v>
      </c>
      <c r="D22" s="4" t="s">
        <v>12</v>
      </c>
      <c r="E22" s="5" t="s">
        <v>12</v>
      </c>
    </row>
    <row r="23" ht="22" customHeight="1" spans="1:5" x14ac:dyDescent="0.25">
      <c r="A23" s="4">
        <v>3</v>
      </c>
      <c r="B23" s="9" t="s">
        <v>12</v>
      </c>
      <c r="C23" s="2" t="s">
        <v>33</v>
      </c>
      <c r="D23" s="4" t="s">
        <v>12</v>
      </c>
      <c r="E23" s="5" t="s">
        <v>12</v>
      </c>
    </row>
    <row r="24" ht="22" customHeight="1" spans="1:5" x14ac:dyDescent="0.25">
      <c r="A24" s="4">
        <v>4</v>
      </c>
      <c r="B24" s="9" t="s">
        <v>12</v>
      </c>
      <c r="C24" s="2" t="s">
        <v>34</v>
      </c>
      <c r="D24" s="4" t="s">
        <v>12</v>
      </c>
      <c r="E24" s="5" t="s">
        <v>12</v>
      </c>
    </row>
    <row r="25" ht="22" customHeight="1" spans="1:5" x14ac:dyDescent="0.25">
      <c r="A25" s="4">
        <v>5</v>
      </c>
      <c r="B25" s="9" t="s">
        <v>12</v>
      </c>
      <c r="C25" s="2" t="s">
        <v>35</v>
      </c>
      <c r="D25" s="4" t="s">
        <v>12</v>
      </c>
      <c r="E25" s="5" t="s">
        <v>12</v>
      </c>
    </row>
  </sheetData>
  <mergeCells count="4">
    <mergeCell ref="A1:E1"/>
    <mergeCell ref="A3:E3"/>
    <mergeCell ref="A12:E12"/>
    <mergeCell ref="A19:E19"/>
  </mergeCells>
  <dataValidations count="4">
    <dataValidation type="list" allowBlank="1" sqref="D10">
      <formula1>"良,要観察,要補修"</formula1>
    </dataValidation>
    <dataValidation type="list" allowBlank="1" sqref="D14:D17">
      <formula1>"良,要観察,要補修"</formula1>
    </dataValidation>
    <dataValidation type="list" allowBlank="1" sqref="D21:D25">
      <formula1>"良,要観察,要補修"</formula1>
    </dataValidation>
    <dataValidation type="list" allowBlank="1" sqref="D5:D10">
      <formula1>"良,要観察,要補修"</formula1>
    </dataValidation>
  </dataValidations>
  <pageMargins left="0.5" right="0.5" top="0.6" bottom="0.6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12"/>
  <sheetFormatPr defaultRowHeight="15" outlineLevelRow="0" outlineLevelCol="0" x14ac:dyDescent="55"/>
  <cols>
    <col min="1" max="1" width="4" customWidth="1"/>
    <col min="2" max="2" width="100" customWidth="1"/>
  </cols>
  <sheetData>
    <row r="2" ht="26" customHeight="1" spans="2:2" x14ac:dyDescent="0.25">
      <c r="B2" s="10" t="s">
        <v>36</v>
      </c>
    </row>
    <row r="3" ht="20" customHeight="1" spans="2:2" x14ac:dyDescent="0.25">
      <c r="B3" s="11" t="s">
        <v>37</v>
      </c>
    </row>
    <row r="4" ht="36" customHeight="1" spans="2:2" x14ac:dyDescent="0.25">
      <c r="B4" s="12" t="s">
        <v>38</v>
      </c>
    </row>
    <row r="5" ht="36" customHeight="1" spans="2:2" x14ac:dyDescent="0.25">
      <c r="B5" s="12" t="s">
        <v>39</v>
      </c>
    </row>
    <row r="6" ht="36" customHeight="1" spans="2:2" x14ac:dyDescent="0.25">
      <c r="B6" s="12" t="s">
        <v>40</v>
      </c>
    </row>
    <row r="7" ht="20" customHeight="1" spans="2:2" x14ac:dyDescent="0.25">
      <c r="B7" s="11" t="s">
        <v>41</v>
      </c>
    </row>
    <row r="8" ht="36" customHeight="1" spans="2:2" x14ac:dyDescent="0.25">
      <c r="B8" s="12" t="s">
        <v>42</v>
      </c>
    </row>
    <row r="9" ht="36" customHeight="1" spans="2:2" x14ac:dyDescent="0.25">
      <c r="B9" s="12" t="s">
        <v>43</v>
      </c>
    </row>
    <row r="10" ht="36" customHeight="1" spans="2:2" x14ac:dyDescent="0.25">
      <c r="B10" s="12" t="s">
        <v>44</v>
      </c>
    </row>
    <row r="12" ht="28" customHeight="1" spans="2:2" x14ac:dyDescent="0.25">
      <c r="B12" s="13" t="s">
        <v>45</v>
      </c>
    </row>
  </sheetData>
  <pageMargins left="0.5" right="0.5" top="0.6" bottom="0.6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点検予定表</vt:lpstr>
      <vt:lpstr>点検項目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ARCHI</dc:creator>
  <dc:title/>
  <dc:subject/>
  <dc:description/>
  <cp:keywords/>
  <cp:category/>
  <cp:lastModifiedBy>Unknown</cp:lastModifiedBy>
  <dcterms:created xsi:type="dcterms:W3CDTF">2026-07-12T00:00:00Z</dcterms:created>
  <dcterms:modified xsi:type="dcterms:W3CDTF">2026-07-12T00:00:00Z</dcterms:modified>
</cp:coreProperties>
</file>