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間工程表" state="visible" r:id="rId4"/>
    <sheet sheetId="2" name="週間工程表" state="visible" r:id="rId5"/>
    <sheet sheetId="3" name="使い方" state="visible" r:id="rId6"/>
  </sheets>
  <calcPr calcId="171027"/>
</workbook>
</file>

<file path=xl/sharedStrings.xml><?xml version="1.0" encoding="utf-8"?>
<sst xmlns="http://schemas.openxmlformats.org/spreadsheetml/2006/main" count="98" uniqueCount="85">
  <si>
    <t xml:space="preserve">月間工程表（木造在来工法・新築）　工事名：　　　　　　　　　　　　</t>
  </si>
  <si>
    <t>着工日（ここに入力）</t>
  </si>
  <si>
    <t>←着工日を入れると各週の日付が自動で変わります</t>
  </si>
  <si>
    <t>週の開始日→</t>
  </si>
  <si>
    <t>工程</t>
  </si>
  <si>
    <t>目安日数</t>
  </si>
  <si>
    <t>担当・業者</t>
  </si>
  <si>
    <t>1週</t>
  </si>
  <si>
    <t>2週</t>
  </si>
  <si>
    <t>3週</t>
  </si>
  <si>
    <t>4週</t>
  </si>
  <si>
    <t>5週</t>
  </si>
  <si>
    <t>6週</t>
  </si>
  <si>
    <t>7週</t>
  </si>
  <si>
    <t>8週</t>
  </si>
  <si>
    <t>9週</t>
  </si>
  <si>
    <t>10週</t>
  </si>
  <si>
    <t>11週</t>
  </si>
  <si>
    <t>12週</t>
  </si>
  <si>
    <t>13週</t>
  </si>
  <si>
    <t>14週</t>
  </si>
  <si>
    <t>15週</t>
  </si>
  <si>
    <t>16週</t>
  </si>
  <si>
    <t>地縄張り・遣り方</t>
  </si>
  <si>
    <t>2日</t>
  </si>
  <si>
    <t>地盤改良（必要時）</t>
  </si>
  <si>
    <t>2〜5日</t>
  </si>
  <si>
    <t>基礎工事（配筋〜脱型）</t>
  </si>
  <si>
    <t>15日</t>
  </si>
  <si>
    <t>給排水先行配管</t>
  </si>
  <si>
    <t>土台敷き・足場架け</t>
  </si>
  <si>
    <t>建て方・上棟</t>
  </si>
  <si>
    <t>2〜3日</t>
  </si>
  <si>
    <t>屋根工事（ルーフィング〜葺き）</t>
  </si>
  <si>
    <t>4日</t>
  </si>
  <si>
    <t>サッシ・玄関ドア取付</t>
  </si>
  <si>
    <t>外壁工事（防水シート〜サイディング）</t>
  </si>
  <si>
    <t>10日</t>
  </si>
  <si>
    <t>電気配線・設備配管（中間）</t>
  </si>
  <si>
    <t>5日</t>
  </si>
  <si>
    <t>断熱・気密工事</t>
  </si>
  <si>
    <t>石膏ボード貼り</t>
  </si>
  <si>
    <t>7日</t>
  </si>
  <si>
    <t>造作・建具枠</t>
  </si>
  <si>
    <t>内装仕上げ（クロス・床）</t>
  </si>
  <si>
    <t>住設機器取付（キッチン・UB等）</t>
  </si>
  <si>
    <t>器具付け・照明・換気</t>
  </si>
  <si>
    <t>3日</t>
  </si>
  <si>
    <t>外構工事</t>
  </si>
  <si>
    <t>美装・社内検査</t>
  </si>
  <si>
    <t>完了検査・施主検査・是正</t>
  </si>
  <si>
    <t>引き渡し</t>
  </si>
  <si>
    <t>1日</t>
  </si>
  <si>
    <t>使い方：実施する週のセルを塗りつぶし（またはに「■」を入力）して線表にします。雨天・検査待ちのバッファを上棟後と仕上げ前に1週ずつ見ておくと崩れにくくなります。</t>
  </si>
  <si>
    <t>週間工程表　（　　月　第　　週）</t>
  </si>
  <si>
    <t>週の開始日（月曜）</t>
  </si>
  <si>
    <t>現場名</t>
  </si>
  <si>
    <t>工種・作業</t>
  </si>
  <si>
    <t>月</t>
  </si>
  <si>
    <t>火</t>
  </si>
  <si>
    <t>水</t>
  </si>
  <si>
    <t>木</t>
  </si>
  <si>
    <t>金</t>
  </si>
  <si>
    <t>土</t>
  </si>
  <si>
    <t>日</t>
  </si>
  <si>
    <t>備考・段取り</t>
  </si>
  <si>
    <t>使い方：現場ごとに1行使い、入る職人・作業をセルに書き込みます。前日夕方に翌日分を確認する運用にすると、手配漏れ・ダブりが減ります。</t>
  </si>
  <si>
    <t>このテンプレートについて</t>
  </si>
  <si>
    <t>木造在来工法の新築を想定した工程表テンプレートです。月間（16週の線表）と週間（職人手配用）の2種類が入っています。</t>
  </si>
  <si>
    <t>一級建築士・建設業実務17年の逆算工程の組み方をもとに、HEALTH ARCHIが作成しました。</t>
  </si>
  <si>
    <t/>
  </si>
  <si>
    <t>月間工程表の使い方</t>
  </si>
  <si>
    <t>1．B2セルに着工日を入れると、各週の日付が自動で変わります。</t>
  </si>
  <si>
    <t>2．実施する週のセルを塗りつぶし（または「■」を入力）して線表にします。</t>
  </si>
  <si>
    <t>3．工程の行は現場に合わせて削除・追加してください。目安日数は標準的な30坪前後の新築の感覚値です。</t>
  </si>
  <si>
    <t>崩れない工程の組み方（実務のコツ）</t>
  </si>
  <si>
    <t>・引き渡し日から逆算して組む。着工日から積み上げると、必ず後ろが詰まります。</t>
  </si>
  <si>
    <t>・バッファは「上棟後」と「仕上げ前」に1週ずつ。雨と検査待ちはここで吸収します。</t>
  </si>
  <si>
    <t>・工程が崩れたら、線を引き直す前に「クリティカルパス（引き渡しに直結する工程）」だけ先に確定させます。</t>
  </si>
  <si>
    <t>ブラウザで作りたい方へ</t>
  </si>
  <si>
    <t>Excelより手早く作りたい場合は、無料のガントチャート工程表ツールもあります（登録不要・ブラウザだけで動きます）。</t>
  </si>
  <si>
    <t>https://healtharchi.github.io/gantt-chart/</t>
  </si>
  <si>
    <t>配布元</t>
  </si>
  <si>
    <t>HEALTH ARCHI（https://healtharchi.com/）</t>
  </si>
  <si>
    <t>このテンプレートは無料で自社利用いただけます。再配布・販売はご遠慮ください。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</si>
</sst>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m/d"/>
  </numFmts>
  <fonts count="9" x14ac:knownFonts="1">
    <font>
      <color theme="1"/>
      <family val="2"/>
      <scheme val="minor"/>
      <sz val="11"/>
      <name val="Calibri"/>
    </font>
    <font>
      <b/>
      <color rgb="FF1B2B4B"/>
      <sz val="13"/>
      <name val="Yu Gothic"/>
    </font>
    <font>
      <b/>
      <sz val="10"/>
      <name val="Yu Gothic"/>
    </font>
    <font>
      <sz val="10"/>
      <name val="Yu Gothic"/>
    </font>
    <font>
      <color rgb="FF64748B"/>
      <sz val="9"/>
      <name val="Yu Gothic"/>
    </font>
    <font>
      <sz val="9"/>
      <name val="Yu Gothic"/>
    </font>
    <font>
      <b/>
      <color rgb="FFFFFFFF"/>
      <sz val="10"/>
      <name val="Yu Gothic"/>
    </font>
    <font>
      <b/>
      <color rgb="FF1B2B4B"/>
      <sz val="12"/>
      <name val="Yu Gothic"/>
    </font>
    <font>
      <color rgb="FF2C2C2C"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0EDE8"/>
      </patternFill>
    </fill>
    <fill>
      <patternFill patternType="solid">
        <fgColor rgb="FF1B2B4B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164" fontId="3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165" fontId="5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4" max="19" width="5.5" customWidth="1"/>
  </cols>
  <sheetData>
    <row r="1" ht="24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" x14ac:dyDescent="0.25">
      <c r="A2" s="2" t="s">
        <v>1</v>
      </c>
      <c r="B2" s="3">
        <v>46237</v>
      </c>
      <c r="C2" s="4" t="s">
        <v>2</v>
      </c>
    </row>
    <row r="3" spans="1:19" x14ac:dyDescent="0.25">
      <c r="A3" s="5" t="s">
        <v>3</v>
      </c>
      <c r="D3" s="6">
        <f>$B$2+0</f>
      </c>
      <c r="E3" s="6">
        <f>$B$2+7</f>
      </c>
      <c r="F3" s="6">
        <f>$B$2+14</f>
      </c>
      <c r="G3" s="6">
        <f>$B$2+21</f>
      </c>
      <c r="H3" s="6">
        <f>$B$2+28</f>
      </c>
      <c r="I3" s="6">
        <f>$B$2+35</f>
      </c>
      <c r="J3" s="6">
        <f>$B$2+42</f>
      </c>
      <c r="K3" s="6">
        <f>$B$2+49</f>
      </c>
      <c r="L3" s="6">
        <f>$B$2+56</f>
      </c>
      <c r="M3" s="6">
        <f>$B$2+63</f>
      </c>
      <c r="N3" s="6">
        <f>$B$2+70</f>
      </c>
      <c r="O3" s="6">
        <f>$B$2+77</f>
      </c>
      <c r="P3" s="6">
        <f>$B$2+84</f>
      </c>
      <c r="Q3" s="6">
        <f>$B$2+91</f>
      </c>
      <c r="R3" s="6">
        <f>$B$2+98</f>
      </c>
      <c r="S3" s="6">
        <f>$B$2+105</f>
      </c>
    </row>
    <row r="4" spans="1:19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</row>
    <row r="5" ht="20" customHeight="1" spans="1:19" x14ac:dyDescent="0.25">
      <c r="A5" s="8" t="s">
        <v>23</v>
      </c>
      <c r="B5" s="9" t="s">
        <v>24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20" customHeight="1" spans="1:19" x14ac:dyDescent="0.25">
      <c r="A6" s="8" t="s">
        <v>25</v>
      </c>
      <c r="B6" s="9" t="s">
        <v>26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20" customHeight="1" spans="1:19" x14ac:dyDescent="0.25">
      <c r="A7" s="8" t="s">
        <v>27</v>
      </c>
      <c r="B7" s="9" t="s">
        <v>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20" customHeight="1" spans="1:19" x14ac:dyDescent="0.25">
      <c r="A8" s="8" t="s">
        <v>29</v>
      </c>
      <c r="B8" s="9" t="s">
        <v>24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20" customHeight="1" spans="1:19" x14ac:dyDescent="0.25">
      <c r="A9" s="8" t="s">
        <v>30</v>
      </c>
      <c r="B9" s="9" t="s">
        <v>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20" customHeight="1" spans="1:19" x14ac:dyDescent="0.25">
      <c r="A10" s="8" t="s">
        <v>31</v>
      </c>
      <c r="B10" s="9" t="s">
        <v>32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20" customHeight="1" spans="1:19" x14ac:dyDescent="0.25">
      <c r="A11" s="8" t="s">
        <v>33</v>
      </c>
      <c r="B11" s="9" t="s">
        <v>34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20" customHeight="1" spans="1:19" x14ac:dyDescent="0.25">
      <c r="A12" s="8" t="s">
        <v>35</v>
      </c>
      <c r="B12" s="9" t="s">
        <v>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20" customHeight="1" spans="1:19" x14ac:dyDescent="0.25">
      <c r="A13" s="8" t="s">
        <v>36</v>
      </c>
      <c r="B13" s="9" t="s">
        <v>37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20" customHeight="1" spans="1:19" x14ac:dyDescent="0.25">
      <c r="A14" s="8" t="s">
        <v>38</v>
      </c>
      <c r="B14" s="9" t="s">
        <v>39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20" customHeight="1" spans="1:19" x14ac:dyDescent="0.25">
      <c r="A15" s="8" t="s">
        <v>40</v>
      </c>
      <c r="B15" s="9" t="s">
        <v>34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ht="20" customHeight="1" spans="1:19" x14ac:dyDescent="0.25">
      <c r="A16" s="8" t="s">
        <v>41</v>
      </c>
      <c r="B16" s="9" t="s">
        <v>42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ht="20" customHeight="1" spans="1:19" x14ac:dyDescent="0.25">
      <c r="A17" s="8" t="s">
        <v>43</v>
      </c>
      <c r="B17" s="9" t="s">
        <v>42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ht="20" customHeight="1" spans="1:19" x14ac:dyDescent="0.25">
      <c r="A18" s="8" t="s">
        <v>44</v>
      </c>
      <c r="B18" s="9" t="s">
        <v>42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20" customHeight="1" spans="1:19" x14ac:dyDescent="0.25">
      <c r="A19" s="8" t="s">
        <v>45</v>
      </c>
      <c r="B19" s="9" t="s">
        <v>34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20" customHeight="1" spans="1:19" x14ac:dyDescent="0.25">
      <c r="A20" s="8" t="s">
        <v>46</v>
      </c>
      <c r="B20" s="9" t="s">
        <v>47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ht="20" customHeight="1" spans="1:19" x14ac:dyDescent="0.25">
      <c r="A21" s="8" t="s">
        <v>48</v>
      </c>
      <c r="B21" s="9" t="s">
        <v>42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ht="20" customHeight="1" spans="1:19" x14ac:dyDescent="0.25">
      <c r="A22" s="8" t="s">
        <v>49</v>
      </c>
      <c r="B22" s="9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ht="20" customHeight="1" spans="1:19" x14ac:dyDescent="0.25">
      <c r="A23" s="8" t="s">
        <v>50</v>
      </c>
      <c r="B23" s="9" t="s">
        <v>47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ht="20" customHeight="1" spans="1:19" x14ac:dyDescent="0.25">
      <c r="A24" s="8" t="s">
        <v>51</v>
      </c>
      <c r="B24" s="9" t="s">
        <v>52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6" spans="1:19" x14ac:dyDescent="0.25">
      <c r="A26" s="4" t="s">
        <v>53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</sheetData>
  <mergeCells count="2">
    <mergeCell ref="A1:S1"/>
    <mergeCell ref="A26:S26"/>
  </mergeCells>
  <pageMargins left="0.4" right="0.4" top="0.6" bottom="0.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FormatPr defaultRowHeight="15" outlineLevelRow="0" outlineLevelCol="0" x14ac:dyDescent="55"/>
  <cols>
    <col min="1" max="1" width="18" customWidth="1"/>
    <col min="2" max="2" width="16" customWidth="1"/>
    <col min="3" max="9" width="13" customWidth="1"/>
    <col min="10" max="10" width="18" customWidth="1"/>
  </cols>
  <sheetData>
    <row r="1" ht="24" customHeight="1" spans="1:10" x14ac:dyDescent="0.2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</row>
    <row r="2" spans="1:2" x14ac:dyDescent="0.25">
      <c r="A2" s="2" t="s">
        <v>55</v>
      </c>
      <c r="B2" s="3">
        <v>46237</v>
      </c>
    </row>
    <row r="3" spans="3:9" x14ac:dyDescent="0.25">
      <c r="C3" s="6">
        <f>$B$2+0</f>
      </c>
      <c r="D3" s="6">
        <f>$B$2+1</f>
      </c>
      <c r="E3" s="6">
        <f>$B$2+2</f>
      </c>
      <c r="F3" s="6">
        <f>$B$2+3</f>
      </c>
      <c r="G3" s="6">
        <f>$B$2+4</f>
      </c>
      <c r="H3" s="6">
        <f>$B$2+5</f>
      </c>
      <c r="I3" s="6">
        <f>$B$2+6</f>
      </c>
    </row>
    <row r="4" spans="1:10" x14ac:dyDescent="0.25">
      <c r="A4" s="7" t="s">
        <v>56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  <c r="H4" s="7" t="s">
        <v>63</v>
      </c>
      <c r="I4" s="7" t="s">
        <v>64</v>
      </c>
      <c r="J4" s="7" t="s">
        <v>65</v>
      </c>
    </row>
    <row r="5" ht="26" customHeight="1" spans="1:10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ht="26" customHeight="1" spans="1:10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ht="26" customHeight="1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ht="26" customHeight="1" spans="1:10" x14ac:dyDescent="0.25">
      <c r="A8" s="8"/>
      <c r="B8" s="8"/>
      <c r="C8" s="8"/>
      <c r="D8" s="8"/>
      <c r="E8" s="8"/>
      <c r="F8" s="8"/>
      <c r="G8" s="8"/>
      <c r="H8" s="8"/>
      <c r="I8" s="8"/>
      <c r="J8" s="8"/>
    </row>
    <row r="9" ht="26" customHeight="1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ht="26" customHeight="1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ht="26" customHeight="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ht="26" customHeight="1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ht="26" customHeight="1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ht="26" customHeight="1" spans="1:1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26" customHeight="1" spans="1:1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ht="26" customHeight="1" spans="1:1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8" spans="1:10" x14ac:dyDescent="0.25">
      <c r="A18" s="4" t="s">
        <v>66</v>
      </c>
      <c r="B18" s="4"/>
      <c r="C18" s="4"/>
      <c r="D18" s="4"/>
      <c r="E18" s="4"/>
      <c r="F18" s="4"/>
      <c r="G18" s="4"/>
      <c r="H18" s="4"/>
      <c r="I18" s="4"/>
      <c r="J18" s="4"/>
    </row>
  </sheetData>
  <mergeCells count="2">
    <mergeCell ref="A1:J1"/>
    <mergeCell ref="A18:J18"/>
  </mergeCells>
  <pageMargins left="0.4" right="0.4" top="0.6" bottom="0.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2"/>
  <sheetFormatPr defaultRowHeight="15" outlineLevelRow="0" outlineLevelCol="0" x14ac:dyDescent="55"/>
  <cols>
    <col min="1" max="1" width="4" customWidth="1"/>
    <col min="2" max="2" width="100" customWidth="1"/>
  </cols>
  <sheetData>
    <row r="2" spans="2:2" x14ac:dyDescent="0.25">
      <c r="B2" s="10" t="s">
        <v>67</v>
      </c>
    </row>
    <row r="3" spans="2:2" x14ac:dyDescent="0.25">
      <c r="B3" s="11" t="s">
        <v>68</v>
      </c>
    </row>
    <row r="4" spans="2:2" x14ac:dyDescent="0.25">
      <c r="B4" s="11" t="s">
        <v>69</v>
      </c>
    </row>
    <row r="5" spans="2:2" x14ac:dyDescent="0.25">
      <c r="B5" s="11" t="s">
        <v>70</v>
      </c>
    </row>
    <row r="6" spans="2:2" x14ac:dyDescent="0.25">
      <c r="B6" s="10" t="s">
        <v>71</v>
      </c>
    </row>
    <row r="7" spans="2:2" x14ac:dyDescent="0.25">
      <c r="B7" s="11" t="s">
        <v>72</v>
      </c>
    </row>
    <row r="8" spans="2:2" x14ac:dyDescent="0.25">
      <c r="B8" s="11" t="s">
        <v>73</v>
      </c>
    </row>
    <row r="9" spans="2:2" x14ac:dyDescent="0.25">
      <c r="B9" s="11" t="s">
        <v>74</v>
      </c>
    </row>
    <row r="10" spans="2:2" x14ac:dyDescent="0.25">
      <c r="B10" s="11" t="s">
        <v>70</v>
      </c>
    </row>
    <row r="11" spans="2:2" x14ac:dyDescent="0.25">
      <c r="B11" s="10" t="s">
        <v>75</v>
      </c>
    </row>
    <row r="12" spans="2:2" x14ac:dyDescent="0.25">
      <c r="B12" s="11" t="s">
        <v>76</v>
      </c>
    </row>
    <row r="13" spans="2:2" x14ac:dyDescent="0.25">
      <c r="B13" s="11" t="s">
        <v>77</v>
      </c>
    </row>
    <row r="14" spans="2:2" x14ac:dyDescent="0.25">
      <c r="B14" s="11" t="s">
        <v>78</v>
      </c>
    </row>
    <row r="15" spans="2:2" x14ac:dyDescent="0.25">
      <c r="B15" s="11" t="s">
        <v>70</v>
      </c>
    </row>
    <row r="16" spans="2:2" x14ac:dyDescent="0.25">
      <c r="B16" s="10" t="s">
        <v>79</v>
      </c>
    </row>
    <row r="17" spans="2:2" x14ac:dyDescent="0.25">
      <c r="B17" s="11" t="s">
        <v>80</v>
      </c>
    </row>
    <row r="18" spans="2:2" x14ac:dyDescent="0.25">
      <c r="B18" s="11" t="s">
        <v>81</v>
      </c>
    </row>
    <row r="19" spans="2:2" x14ac:dyDescent="0.25">
      <c r="B19" s="11" t="s">
        <v>70</v>
      </c>
    </row>
    <row r="20" spans="2:2" x14ac:dyDescent="0.25">
      <c r="B20" s="10" t="s">
        <v>82</v>
      </c>
    </row>
    <row r="21" spans="2:2" x14ac:dyDescent="0.25">
      <c r="B21" s="11" t="s">
        <v>83</v>
      </c>
    </row>
    <row r="22" spans="2:2" x14ac:dyDescent="0.25">
      <c r="B22" s="1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月間工程表</vt:lpstr>
      <vt:lpstr>週間工程表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ARCHI</dc:creator>
  <dc:title/>
  <dc:subject/>
  <dc:description/>
  <cp:keywords/>
  <cp:category/>
  <cp:lastModifiedBy>Unknown</cp:lastModifiedBy>
  <dcterms:created xsi:type="dcterms:W3CDTF">2026-07-11T21:56:21Z</dcterms:created>
  <dcterms:modified xsi:type="dcterms:W3CDTF">2026-07-11T21:56:21Z</dcterms:modified>
</cp:coreProperties>
</file>