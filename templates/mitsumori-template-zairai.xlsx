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内訳明細" state="visible" r:id="rId5"/>
    <sheet sheetId="3" name="使い方" state="visible" r:id="rId6"/>
  </sheets>
  <calcPr calcId="171027"/>
</workbook>
</file>

<file path=xl/sharedStrings.xml><?xml version="1.0" encoding="utf-8"?>
<sst xmlns="http://schemas.openxmlformats.org/spreadsheetml/2006/main" count="240" uniqueCount="183">
  <si>
    <t>御　見　積　書</t>
  </si>
  <si>
    <t>〇〇　〇〇　様</t>
  </si>
  <si>
    <t>見積日</t>
  </si>
  <si>
    <t xml:space="preserve">　　年　　月　　日</t>
  </si>
  <si>
    <t>（宛名を入力してください）</t>
  </si>
  <si>
    <t>見積番号</t>
  </si>
  <si>
    <t/>
  </si>
  <si>
    <t>下記のとおり御見積り申し上げます。</t>
  </si>
  <si>
    <t>御見積金額（税込）</t>
  </si>
  <si>
    <t>工事名称</t>
  </si>
  <si>
    <t>〇〇様邸　新築工事</t>
  </si>
  <si>
    <t>工事場所</t>
  </si>
  <si>
    <t>構造・規模</t>
  </si>
  <si>
    <t>木造在来工法　2階建て　延床面積　　　㎡（　　　坪）</t>
  </si>
  <si>
    <t>工期</t>
  </si>
  <si>
    <t>契約後　〇〇日間（着工〜引き渡し）</t>
  </si>
  <si>
    <t>見積有効期限</t>
  </si>
  <si>
    <t>見積日より　3　ヶ月</t>
  </si>
  <si>
    <t>支払条件</t>
  </si>
  <si>
    <t>契約時　％／着工時　％／上棟時　％／引渡時　％</t>
  </si>
  <si>
    <t>税抜合計</t>
  </si>
  <si>
    <t>消費税（10%）</t>
  </si>
  <si>
    <t>備考</t>
  </si>
  <si>
    <t xml:space="preserve">会社名：
住所：
電話：
担当者：
適格請求書発行事業者登録番号：T</t>
  </si>
  <si>
    <t>見積内訳明細書（木造在来工法・新築）</t>
  </si>
  <si>
    <t>No</t>
  </si>
  <si>
    <t>工事項目</t>
  </si>
  <si>
    <t>仕様・摘要</t>
  </si>
  <si>
    <t>数量</t>
  </si>
  <si>
    <t>単位</t>
  </si>
  <si>
    <t>単価</t>
  </si>
  <si>
    <t>金額</t>
  </si>
  <si>
    <t>1. 仮設工事</t>
  </si>
  <si>
    <t>外部足場</t>
  </si>
  <si>
    <t>くさび式足場　架け払い共</t>
  </si>
  <si>
    <t>㎡</t>
  </si>
  <si>
    <t>養生・仮囲い</t>
  </si>
  <si>
    <t>メッシュシート共</t>
  </si>
  <si>
    <t>式</t>
  </si>
  <si>
    <t>仮設トイレ</t>
  </si>
  <si>
    <t>工事期間中</t>
  </si>
  <si>
    <t>仮設電気・仮設水道</t>
  </si>
  <si>
    <t>仮設工事　小計</t>
  </si>
  <si>
    <t>2. 基礎工事</t>
  </si>
  <si>
    <t>掘削・残土処分</t>
  </si>
  <si>
    <t>べた基礎　根切り・場外処分共</t>
  </si>
  <si>
    <t>砕石地業</t>
  </si>
  <si>
    <t>再生砕石　t=120　転圧共</t>
  </si>
  <si>
    <t>防湿シート・捨てコンクリート</t>
  </si>
  <si>
    <t>ポリフィルム t=0.15・捨てコン t=50</t>
  </si>
  <si>
    <t>鉄筋工事</t>
  </si>
  <si>
    <t>SD295 D10・D13　加工組立共</t>
  </si>
  <si>
    <t>型枠工事</t>
  </si>
  <si>
    <t>鋼製型枠</t>
  </si>
  <si>
    <t>コンクリート打設</t>
  </si>
  <si>
    <t>FC24　ポンプ圧送共</t>
  </si>
  <si>
    <t>基礎パッキン・アンカーボルト</t>
  </si>
  <si>
    <t>土台まわり一式</t>
  </si>
  <si>
    <t>基礎工事　小計</t>
  </si>
  <si>
    <t>3. 木工事</t>
  </si>
  <si>
    <t>土台・大引</t>
  </si>
  <si>
    <t>桧 105角　防蟻処理材</t>
  </si>
  <si>
    <t>構造材（柱・梁・桁）</t>
  </si>
  <si>
    <t>杉・米松　プレカット共</t>
  </si>
  <si>
    <t>羽柄材・間柱・筋かい</t>
  </si>
  <si>
    <t>プレカット共</t>
  </si>
  <si>
    <t>構造用合板（床・壁・屋根）</t>
  </si>
  <si>
    <t>床28mm・壁9mm・屋根12mm</t>
  </si>
  <si>
    <t>構造金物</t>
  </si>
  <si>
    <t>告示金物・ホールダウン共</t>
  </si>
  <si>
    <t>大工手間</t>
  </si>
  <si>
    <t>建て方〜造作完了まで</t>
  </si>
  <si>
    <t>木工事　小計</t>
  </si>
  <si>
    <t>4. 屋根・板金工事</t>
  </si>
  <si>
    <t>屋根下葺き</t>
  </si>
  <si>
    <t>改質アスファルトルーフィング</t>
  </si>
  <si>
    <t>屋根葺き材</t>
  </si>
  <si>
    <t>ガルバリウム鋼板　立平葺き</t>
  </si>
  <si>
    <t>軒樋・竪樋</t>
  </si>
  <si>
    <t>塩ビ製　半丸105</t>
  </si>
  <si>
    <t>板金水切・雨押え</t>
  </si>
  <si>
    <t>ガルバリウム鋼板</t>
  </si>
  <si>
    <t>屋根・板金工事　小計</t>
  </si>
  <si>
    <t>5. 外壁工事</t>
  </si>
  <si>
    <t>透湿防水シート</t>
  </si>
  <si>
    <t>JIS A 6111適合品</t>
  </si>
  <si>
    <t>通気胴縁</t>
  </si>
  <si>
    <t>18×45</t>
  </si>
  <si>
    <t>外壁材</t>
  </si>
  <si>
    <t>窯業系サイディング t=16　金具留め</t>
  </si>
  <si>
    <t>シーリング</t>
  </si>
  <si>
    <t>変成シリコン　打設共</t>
  </si>
  <si>
    <t>ｍ</t>
  </si>
  <si>
    <t>外壁工事　小計</t>
  </si>
  <si>
    <t>6. 断熱工事</t>
  </si>
  <si>
    <t>床断熱材</t>
  </si>
  <si>
    <t>押出法ポリスチレンフォーム t=90</t>
  </si>
  <si>
    <t>壁断熱材</t>
  </si>
  <si>
    <t>高性能グラスウール t=105</t>
  </si>
  <si>
    <t>天井・屋根断熱材</t>
  </si>
  <si>
    <t>高性能グラスウール t=210</t>
  </si>
  <si>
    <t>気密処理</t>
  </si>
  <si>
    <t>先張りシート・気密テープ共</t>
  </si>
  <si>
    <t>断熱工事　小計</t>
  </si>
  <si>
    <t>7. 内装工事</t>
  </si>
  <si>
    <t>石膏ボード</t>
  </si>
  <si>
    <t>壁12.5mm・天井9.5mm　張り手間共</t>
  </si>
  <si>
    <t>床仕上げ</t>
  </si>
  <si>
    <t>複合フローリング t=12</t>
  </si>
  <si>
    <t>壁・天井仕上げ</t>
  </si>
  <si>
    <t>ビニルクロス　量産品</t>
  </si>
  <si>
    <t>造作材・巾木・廻り縁</t>
  </si>
  <si>
    <t>既製品</t>
  </si>
  <si>
    <t>内装工事　小計</t>
  </si>
  <si>
    <t>8. 建具工事</t>
  </si>
  <si>
    <t>アルミ樹脂複合サッシ</t>
  </si>
  <si>
    <t>Low-Eペアガラス　網戸共</t>
  </si>
  <si>
    <t>玄関ドア</t>
  </si>
  <si>
    <t>断熱仕様　電気錠なし</t>
  </si>
  <si>
    <t>箇所</t>
  </si>
  <si>
    <t>内部建具</t>
  </si>
  <si>
    <t>既製品建具　枠共</t>
  </si>
  <si>
    <t>建具工事　小計</t>
  </si>
  <si>
    <t>9. 住宅設備工事</t>
  </si>
  <si>
    <t>システムキッチン</t>
  </si>
  <si>
    <t>W2550　標準仕様　組立共</t>
  </si>
  <si>
    <t>ユニットバス</t>
  </si>
  <si>
    <t>1616サイズ　標準仕様　組立共</t>
  </si>
  <si>
    <t>洗面化粧台</t>
  </si>
  <si>
    <t>W750　三面鏡</t>
  </si>
  <si>
    <t>台</t>
  </si>
  <si>
    <t>トイレ</t>
  </si>
  <si>
    <t>節水型便器　温水洗浄便座共</t>
  </si>
  <si>
    <t>住宅設備工事　小計</t>
  </si>
  <si>
    <t>10. 電気設備工事</t>
  </si>
  <si>
    <t>電気配線工事</t>
  </si>
  <si>
    <t>分電盤・配線・器具付け共</t>
  </si>
  <si>
    <t>照明器具</t>
  </si>
  <si>
    <t>LED　施主支給分は取付手間のみ</t>
  </si>
  <si>
    <t>換気設備</t>
  </si>
  <si>
    <t>24時間換気　第3種</t>
  </si>
  <si>
    <t>電気設備工事　小計</t>
  </si>
  <si>
    <t>11. 給排水設備工事</t>
  </si>
  <si>
    <t>給排水衛生工事</t>
  </si>
  <si>
    <t>屋内配管・器具付け共</t>
  </si>
  <si>
    <t>屋外給排水工事</t>
  </si>
  <si>
    <t>敷地内配管・桝共</t>
  </si>
  <si>
    <t>ガス工事</t>
  </si>
  <si>
    <t>配管・接続共</t>
  </si>
  <si>
    <t>給排水設備工事　小計</t>
  </si>
  <si>
    <t>12. その他工事</t>
  </si>
  <si>
    <t>美装工事</t>
  </si>
  <si>
    <t>引き渡し前クリーニング</t>
  </si>
  <si>
    <t>産業廃棄物処分</t>
  </si>
  <si>
    <t>マニフェスト管理共</t>
  </si>
  <si>
    <t>地盤調査・地盤改良</t>
  </si>
  <si>
    <t>SWS試験／改良は調査後別途</t>
  </si>
  <si>
    <t>その他工事　小計</t>
  </si>
  <si>
    <t>直接工事費　計</t>
  </si>
  <si>
    <t>現場管理費</t>
  </si>
  <si>
    <t>直接工事費の5%（率は調整可）</t>
  </si>
  <si>
    <t>一般管理費</t>
  </si>
  <si>
    <t>直接工事費の8%（率は調整可）</t>
  </si>
  <si>
    <t>法定福利費</t>
  </si>
  <si>
    <t>労務費相当×法定保険料率（目安式・要調整）</t>
  </si>
  <si>
    <t>出精値引き</t>
  </si>
  <si>
    <t>値引きはマイナス入力</t>
  </si>
  <si>
    <t>税込合計</t>
  </si>
  <si>
    <t>このテンプレートについて</t>
  </si>
  <si>
    <t>木造在来工法の新築工事を想定した見積書テンプレートです。よく使う工事項目と仕様例をあらかじめ入れてあります。</t>
  </si>
  <si>
    <t>一級建築士・建設業実務17年（営業・設計・現場管理・アフター）の経験をもとに、HEALTH ARCHIが作成しました。</t>
  </si>
  <si>
    <t>使い方（3ステップ）</t>
  </si>
  <si>
    <t>1．「内訳明細」シートで、数量と単価を入力してください。金額と小計・合計は自動計算されます。</t>
  </si>
  <si>
    <t>2．使わない項目は行ごと削除、足りない項目は行を挿入して追加してください（小計のSUM範囲に入っているか確認）。</t>
  </si>
  <si>
    <t>3．「表紙」シートの宛名・工事名・会社情報を入力すれば完成です。表紙の金額は内訳明細から自動で入ります。</t>
  </si>
  <si>
    <t>実務上の注意（赤字を防ぐポイント）</t>
  </si>
  <si>
    <t>・単価は必ず自社の実勢単価で。古い見積のコピペは赤字の入口になります。</t>
  </si>
  <si>
    <t>・法定福利費の式（労務費×保険料率）は目安です。自社の労務費比率・保険料率に合わせて調整してください。</t>
  </si>
  <si>
    <t>・現場管理費5%・一般管理費8%は一般的な目安です。自社の実態に合わせて率を変えてください。</t>
  </si>
  <si>
    <t>・地盤改良・外構は金額が動きやすいため「別途工事」として分けるのが安全です。</t>
  </si>
  <si>
    <t>配布元</t>
  </si>
  <si>
    <t>HEALTH ARCHI（https://healtharchi.com/）</t>
  </si>
  <si>
    <t>このテンプレートは無料で自社利用いただけます。再配布・販売はご遠慮ください。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</si>
</sst>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"/>
    <numFmt numFmtId="165" formatCode="#,##0.0"/>
  </numFmts>
  <fonts count="14" x14ac:knownFonts="1">
    <font>
      <color theme="1"/>
      <family val="2"/>
      <scheme val="minor"/>
      <sz val="11"/>
      <name val="Calibri"/>
    </font>
    <font>
      <b/>
      <color rgb="FF1B2B4B"/>
      <sz val="22"/>
      <name val="Yu Gothic"/>
    </font>
    <font>
      <b/>
      <sz val="14"/>
      <name val="Yu Gothic"/>
    </font>
    <font>
      <b/>
      <sz val="10"/>
      <name val="Yu Gothic"/>
    </font>
    <font>
      <sz val="10"/>
      <name val="Yu Gothic"/>
    </font>
    <font>
      <color rgb="FF64748B"/>
      <sz val="9"/>
      <name val="Yu Gothic"/>
    </font>
    <font>
      <b/>
      <color rgb="FFFFFFFF"/>
      <sz val="12"/>
      <name val="Yu Gothic"/>
    </font>
    <font>
      <b/>
      <color rgb="FF1B2B4B"/>
      <sz val="18"/>
      <name val="Yu Gothic"/>
    </font>
    <font>
      <b/>
      <color rgb="FF1B2B4B"/>
      <sz val="13"/>
      <name val="Yu Gothic"/>
    </font>
    <font>
      <b/>
      <color rgb="FFFFFFFF"/>
      <sz val="10"/>
      <name val="Yu Gothic"/>
    </font>
    <font>
      <b/>
      <color rgb="FF1B2B4B"/>
      <sz val="10"/>
      <name val="Yu Gothic"/>
    </font>
    <font>
      <color rgb="FF64748B"/>
      <sz val="8"/>
      <name val="Yu Gothic"/>
    </font>
    <font>
      <b/>
      <color rgb="FF1B2B4B"/>
      <sz val="12"/>
      <name val="Yu Gothic"/>
    </font>
    <font>
      <color rgb="FF2C2C2C"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0EDE8"/>
      </patternFill>
    </fill>
    <fill>
      <patternFill patternType="solid">
        <fgColor rgb="FF1B2B4B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3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8" fillId="0" borderId="0" xfId="0" applyFont="1"/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3" fontId="4" fillId="0" borderId="1" xfId="0" applyNumberFormat="1" applyFont="1" applyBorder="1"/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/>
    <xf numFmtId="0" fontId="3" fillId="2" borderId="1" xfId="0" applyFont="1" applyFill="1" applyBorder="1" applyAlignment="1">
      <alignment horizontal="right"/>
    </xf>
    <xf numFmtId="0" fontId="11" fillId="0" borderId="1" xfId="0" applyFont="1" applyBorder="1"/>
    <xf numFmtId="0" fontId="12" fillId="2" borderId="1" xfId="0" applyFont="1" applyFill="1" applyBorder="1" applyAlignment="1">
      <alignment horizontal="right"/>
    </xf>
    <xf numFmtId="3" fontId="12" fillId="0" borderId="1" xfId="0" applyNumberFormat="1" applyFont="1" applyBorder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25"/>
  <sheetFormatPr defaultRowHeight="15" outlineLevelRow="0" outlineLevelCol="0" x14ac:dyDescent="55"/>
  <cols>
    <col min="1" max="1" width="3" customWidth="1"/>
    <col min="2" max="2" width="16" customWidth="1"/>
    <col min="3" max="3" width="22" customWidth="1"/>
    <col min="4" max="4" width="14" customWidth="1"/>
    <col min="5" max="5" width="6" customWidth="1"/>
    <col min="6" max="6" width="16" customWidth="1"/>
    <col min="7" max="7" width="22" customWidth="1"/>
    <col min="8" max="8" width="3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4" spans="2:7" x14ac:dyDescent="0.25">
      <c r="B4" s="2" t="s">
        <v>1</v>
      </c>
      <c r="C4" s="2"/>
      <c r="D4" s="2"/>
      <c r="F4" s="3" t="s">
        <v>2</v>
      </c>
      <c r="G4" s="4" t="s">
        <v>3</v>
      </c>
    </row>
    <row r="5" spans="2:7" x14ac:dyDescent="0.25">
      <c r="B5" s="5" t="s">
        <v>4</v>
      </c>
      <c r="F5" s="3" t="s">
        <v>5</v>
      </c>
      <c r="G5" s="4" t="s">
        <v>6</v>
      </c>
    </row>
    <row r="7" spans="2:7" x14ac:dyDescent="0.25">
      <c r="B7" s="6" t="s">
        <v>7</v>
      </c>
      <c r="C7" s="6"/>
      <c r="D7" s="6"/>
      <c r="E7" s="6"/>
      <c r="F7" s="6"/>
      <c r="G7" s="6"/>
    </row>
    <row r="9" ht="32" customHeight="1" spans="2:7" x14ac:dyDescent="0.25">
      <c r="B9" s="7" t="s">
        <v>8</v>
      </c>
      <c r="C9" s="7"/>
      <c r="D9" s="8">
        <f>内訳明細!G88</f>
      </c>
      <c r="E9" s="8"/>
      <c r="F9" s="8"/>
      <c r="G9" s="8"/>
    </row>
    <row r="11" spans="2:7" x14ac:dyDescent="0.25">
      <c r="B11" s="3" t="s">
        <v>9</v>
      </c>
      <c r="C11" s="4" t="s">
        <v>10</v>
      </c>
      <c r="D11" s="4"/>
      <c r="E11" s="4"/>
      <c r="F11" s="4"/>
      <c r="G11" s="4"/>
    </row>
    <row r="12" spans="2:7" x14ac:dyDescent="0.25">
      <c r="B12" s="3" t="s">
        <v>11</v>
      </c>
      <c r="C12" s="4" t="s">
        <v>6</v>
      </c>
      <c r="D12" s="4"/>
      <c r="E12" s="4"/>
      <c r="F12" s="4"/>
      <c r="G12" s="4"/>
    </row>
    <row r="13" spans="2:7" x14ac:dyDescent="0.25">
      <c r="B13" s="3" t="s">
        <v>12</v>
      </c>
      <c r="C13" s="4" t="s">
        <v>13</v>
      </c>
      <c r="D13" s="4"/>
      <c r="E13" s="4"/>
      <c r="F13" s="4"/>
      <c r="G13" s="4"/>
    </row>
    <row r="14" spans="2:7" x14ac:dyDescent="0.25">
      <c r="B14" s="3" t="s">
        <v>14</v>
      </c>
      <c r="C14" s="4" t="s">
        <v>15</v>
      </c>
      <c r="D14" s="4"/>
      <c r="E14" s="4"/>
      <c r="F14" s="4"/>
      <c r="G14" s="4"/>
    </row>
    <row r="15" spans="2:7" x14ac:dyDescent="0.25">
      <c r="B15" s="3" t="s">
        <v>16</v>
      </c>
      <c r="C15" s="4" t="s">
        <v>17</v>
      </c>
      <c r="D15" s="4"/>
      <c r="E15" s="4"/>
      <c r="F15" s="4"/>
      <c r="G15" s="4"/>
    </row>
    <row r="16" spans="2:7" x14ac:dyDescent="0.25">
      <c r="B16" s="3" t="s">
        <v>18</v>
      </c>
      <c r="C16" s="4" t="s">
        <v>19</v>
      </c>
      <c r="D16" s="4"/>
      <c r="E16" s="4"/>
      <c r="F16" s="4"/>
      <c r="G16" s="4"/>
    </row>
    <row r="18" spans="2:7" x14ac:dyDescent="0.25">
      <c r="B18" s="3" t="s">
        <v>20</v>
      </c>
      <c r="C18" s="9">
        <f>内訳明細!G86</f>
      </c>
      <c r="D18" s="9"/>
      <c r="F18" s="3" t="s">
        <v>21</v>
      </c>
      <c r="G18" s="9">
        <f>内訳明細!G87</f>
      </c>
    </row>
    <row r="21" ht="18" customHeight="1" spans="2:7" x14ac:dyDescent="0.25">
      <c r="B21" s="3" t="s">
        <v>22</v>
      </c>
      <c r="E21" s="10" t="s">
        <v>23</v>
      </c>
      <c r="F21" s="10"/>
      <c r="G21" s="10"/>
    </row>
    <row r="22" spans="2:7" x14ac:dyDescent="0.25">
      <c r="B22" s="11" t="s">
        <v>6</v>
      </c>
      <c r="C22" s="11"/>
      <c r="D22" s="11"/>
      <c r="E22" s="10"/>
      <c r="F22" s="10"/>
      <c r="G22" s="10"/>
    </row>
    <row r="23" spans="2:7" x14ac:dyDescent="0.25">
      <c r="B23" s="11"/>
      <c r="C23" s="11"/>
      <c r="D23" s="11"/>
      <c r="E23" s="10"/>
      <c r="F23" s="10"/>
      <c r="G23" s="10"/>
    </row>
    <row r="24" spans="2:7" x14ac:dyDescent="0.25">
      <c r="B24" s="11"/>
      <c r="C24" s="11"/>
      <c r="D24" s="11"/>
      <c r="E24" s="10"/>
      <c r="F24" s="10"/>
      <c r="G24" s="10"/>
    </row>
    <row r="25" spans="2:7" x14ac:dyDescent="0.25">
      <c r="B25" s="11"/>
      <c r="C25" s="11"/>
      <c r="D25" s="11"/>
      <c r="E25" s="10"/>
      <c r="F25" s="10"/>
      <c r="G25" s="10"/>
    </row>
  </sheetData>
  <mergeCells count="14">
    <mergeCell ref="B2:G2"/>
    <mergeCell ref="B4:D4"/>
    <mergeCell ref="B7:G7"/>
    <mergeCell ref="B9:C9"/>
    <mergeCell ref="D9:G9"/>
    <mergeCell ref="C11:G11"/>
    <mergeCell ref="C12:G12"/>
    <mergeCell ref="C13:G13"/>
    <mergeCell ref="C14:G14"/>
    <mergeCell ref="C15:G15"/>
    <mergeCell ref="C16:G16"/>
    <mergeCell ref="C18:D18"/>
    <mergeCell ref="E21:G25"/>
    <mergeCell ref="B22:D2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30" customWidth="1"/>
    <col min="4" max="4" width="8" customWidth="1"/>
    <col min="5" max="5" width="6" customWidth="1"/>
    <col min="6" max="6" width="11" customWidth="1"/>
    <col min="7" max="7" width="13" customWidth="1"/>
    <col min="8" max="8" width="18" customWidth="1"/>
  </cols>
  <sheetData>
    <row r="1" ht="24" customHeight="1" spans="1:8" x14ac:dyDescent="0.25">
      <c r="A1" s="12" t="s">
        <v>24</v>
      </c>
      <c r="B1" s="12"/>
      <c r="C1" s="12"/>
      <c r="D1" s="12"/>
      <c r="E1" s="12"/>
      <c r="F1" s="12"/>
      <c r="G1" s="12"/>
      <c r="H1" s="12"/>
    </row>
    <row r="2" spans="1:8" x14ac:dyDescent="0.25">
      <c r="A2" s="13" t="s">
        <v>25</v>
      </c>
      <c r="B2" s="13" t="s">
        <v>26</v>
      </c>
      <c r="C2" s="13" t="s">
        <v>27</v>
      </c>
      <c r="D2" s="13" t="s">
        <v>28</v>
      </c>
      <c r="E2" s="13" t="s">
        <v>29</v>
      </c>
      <c r="F2" s="13" t="s">
        <v>30</v>
      </c>
      <c r="G2" s="13" t="s">
        <v>31</v>
      </c>
      <c r="H2" s="13" t="s">
        <v>22</v>
      </c>
    </row>
    <row r="3" spans="1:8" x14ac:dyDescent="0.25">
      <c r="A3" s="14" t="s">
        <v>32</v>
      </c>
      <c r="B3" s="14"/>
      <c r="C3" s="14"/>
      <c r="D3" s="14"/>
      <c r="E3" s="14"/>
      <c r="F3" s="14"/>
      <c r="G3" s="14"/>
      <c r="H3" s="14"/>
    </row>
    <row r="4" spans="1:8" x14ac:dyDescent="0.25">
      <c r="A4" s="15">
        <v>1</v>
      </c>
      <c r="B4" s="4" t="s">
        <v>33</v>
      </c>
      <c r="C4" s="4" t="s">
        <v>34</v>
      </c>
      <c r="D4" s="16"/>
      <c r="E4" s="4" t="s">
        <v>35</v>
      </c>
      <c r="F4" s="17"/>
      <c r="G4" s="17">
        <f>IF(OR(D4="",F4=""),"",D4*F4)</f>
      </c>
      <c r="H4" s="4"/>
    </row>
    <row r="5" spans="1:8" x14ac:dyDescent="0.25">
      <c r="A5" s="15">
        <v>2</v>
      </c>
      <c r="B5" s="4" t="s">
        <v>36</v>
      </c>
      <c r="C5" s="4" t="s">
        <v>37</v>
      </c>
      <c r="D5" s="16"/>
      <c r="E5" s="4" t="s">
        <v>38</v>
      </c>
      <c r="F5" s="17"/>
      <c r="G5" s="17">
        <f>IF(OR(D5="",F5=""),"",D5*F5)</f>
      </c>
      <c r="H5" s="4"/>
    </row>
    <row r="6" spans="1:8" x14ac:dyDescent="0.25">
      <c r="A6" s="15">
        <v>3</v>
      </c>
      <c r="B6" s="4" t="s">
        <v>39</v>
      </c>
      <c r="C6" s="4" t="s">
        <v>40</v>
      </c>
      <c r="D6" s="16"/>
      <c r="E6" s="4" t="s">
        <v>38</v>
      </c>
      <c r="F6" s="17"/>
      <c r="G6" s="17">
        <f>IF(OR(D6="",F6=""),"",D6*F6)</f>
      </c>
      <c r="H6" s="4"/>
    </row>
    <row r="7" spans="1:8" x14ac:dyDescent="0.25">
      <c r="A7" s="15">
        <v>4</v>
      </c>
      <c r="B7" s="4" t="s">
        <v>41</v>
      </c>
      <c r="C7" s="4" t="s">
        <v>40</v>
      </c>
      <c r="D7" s="16"/>
      <c r="E7" s="4" t="s">
        <v>38</v>
      </c>
      <c r="F7" s="17"/>
      <c r="G7" s="17">
        <f>IF(OR(D7="",F7=""),"",D7*F7)</f>
      </c>
      <c r="H7" s="4"/>
    </row>
    <row r="8" spans="1:8" x14ac:dyDescent="0.25">
      <c r="A8" s="18" t="s">
        <v>42</v>
      </c>
      <c r="B8" s="18"/>
      <c r="C8" s="18"/>
      <c r="D8" s="18"/>
      <c r="E8" s="18"/>
      <c r="F8" s="18"/>
      <c r="G8" s="19">
        <f>SUM(G4:G7)</f>
      </c>
      <c r="H8" s="4"/>
    </row>
    <row r="9" spans="1:8" x14ac:dyDescent="0.25">
      <c r="A9" s="14" t="s">
        <v>43</v>
      </c>
      <c r="B9" s="14"/>
      <c r="C9" s="14"/>
      <c r="D9" s="14"/>
      <c r="E9" s="14"/>
      <c r="F9" s="14"/>
      <c r="G9" s="14"/>
      <c r="H9" s="14"/>
    </row>
    <row r="10" spans="1:8" x14ac:dyDescent="0.25">
      <c r="A10" s="15">
        <v>5</v>
      </c>
      <c r="B10" s="4" t="s">
        <v>44</v>
      </c>
      <c r="C10" s="4" t="s">
        <v>45</v>
      </c>
      <c r="D10" s="16"/>
      <c r="E10" s="4" t="s">
        <v>38</v>
      </c>
      <c r="F10" s="17"/>
      <c r="G10" s="17">
        <f>IF(OR(D10="",F10=""),"",D10*F10)</f>
      </c>
      <c r="H10" s="4"/>
    </row>
    <row r="11" spans="1:8" x14ac:dyDescent="0.25">
      <c r="A11" s="15">
        <v>6</v>
      </c>
      <c r="B11" s="4" t="s">
        <v>46</v>
      </c>
      <c r="C11" s="4" t="s">
        <v>47</v>
      </c>
      <c r="D11" s="16"/>
      <c r="E11" s="4" t="s">
        <v>35</v>
      </c>
      <c r="F11" s="17"/>
      <c r="G11" s="17">
        <f>IF(OR(D11="",F11=""),"",D11*F11)</f>
      </c>
      <c r="H11" s="4"/>
    </row>
    <row r="12" spans="1:8" x14ac:dyDescent="0.25">
      <c r="A12" s="15">
        <v>7</v>
      </c>
      <c r="B12" s="4" t="s">
        <v>48</v>
      </c>
      <c r="C12" s="4" t="s">
        <v>49</v>
      </c>
      <c r="D12" s="16"/>
      <c r="E12" s="4" t="s">
        <v>35</v>
      </c>
      <c r="F12" s="17"/>
      <c r="G12" s="17">
        <f>IF(OR(D12="",F12=""),"",D12*F12)</f>
      </c>
      <c r="H12" s="4"/>
    </row>
    <row r="13" spans="1:8" x14ac:dyDescent="0.25">
      <c r="A13" s="15">
        <v>8</v>
      </c>
      <c r="B13" s="4" t="s">
        <v>50</v>
      </c>
      <c r="C13" s="4" t="s">
        <v>51</v>
      </c>
      <c r="D13" s="16"/>
      <c r="E13" s="4" t="s">
        <v>38</v>
      </c>
      <c r="F13" s="17"/>
      <c r="G13" s="17">
        <f>IF(OR(D13="",F13=""),"",D13*F13)</f>
      </c>
      <c r="H13" s="4"/>
    </row>
    <row r="14" spans="1:8" x14ac:dyDescent="0.25">
      <c r="A14" s="15">
        <v>9</v>
      </c>
      <c r="B14" s="4" t="s">
        <v>52</v>
      </c>
      <c r="C14" s="4" t="s">
        <v>53</v>
      </c>
      <c r="D14" s="16"/>
      <c r="E14" s="4" t="s">
        <v>38</v>
      </c>
      <c r="F14" s="17"/>
      <c r="G14" s="17">
        <f>IF(OR(D14="",F14=""),"",D14*F14)</f>
      </c>
      <c r="H14" s="4"/>
    </row>
    <row r="15" spans="1:8" x14ac:dyDescent="0.25">
      <c r="A15" s="15">
        <v>10</v>
      </c>
      <c r="B15" s="4" t="s">
        <v>54</v>
      </c>
      <c r="C15" s="4" t="s">
        <v>55</v>
      </c>
      <c r="D15" s="16"/>
      <c r="E15" s="4" t="s">
        <v>38</v>
      </c>
      <c r="F15" s="17"/>
      <c r="G15" s="17">
        <f>IF(OR(D15="",F15=""),"",D15*F15)</f>
      </c>
      <c r="H15" s="4"/>
    </row>
    <row r="16" spans="1:8" x14ac:dyDescent="0.25">
      <c r="A16" s="15">
        <v>11</v>
      </c>
      <c r="B16" s="4" t="s">
        <v>56</v>
      </c>
      <c r="C16" s="4" t="s">
        <v>57</v>
      </c>
      <c r="D16" s="16"/>
      <c r="E16" s="4" t="s">
        <v>38</v>
      </c>
      <c r="F16" s="17"/>
      <c r="G16" s="17">
        <f>IF(OR(D16="",F16=""),"",D16*F16)</f>
      </c>
      <c r="H16" s="4"/>
    </row>
    <row r="17" spans="1:8" x14ac:dyDescent="0.25">
      <c r="A17" s="18" t="s">
        <v>58</v>
      </c>
      <c r="B17" s="18"/>
      <c r="C17" s="18"/>
      <c r="D17" s="18"/>
      <c r="E17" s="18"/>
      <c r="F17" s="18"/>
      <c r="G17" s="19">
        <f>SUM(G10:G16)</f>
      </c>
      <c r="H17" s="4"/>
    </row>
    <row r="18" spans="1:8" x14ac:dyDescent="0.25">
      <c r="A18" s="14" t="s">
        <v>59</v>
      </c>
      <c r="B18" s="14"/>
      <c r="C18" s="14"/>
      <c r="D18" s="14"/>
      <c r="E18" s="14"/>
      <c r="F18" s="14"/>
      <c r="G18" s="14"/>
      <c r="H18" s="14"/>
    </row>
    <row r="19" spans="1:8" x14ac:dyDescent="0.25">
      <c r="A19" s="15">
        <v>12</v>
      </c>
      <c r="B19" s="4" t="s">
        <v>60</v>
      </c>
      <c r="C19" s="4" t="s">
        <v>61</v>
      </c>
      <c r="D19" s="16"/>
      <c r="E19" s="4" t="s">
        <v>38</v>
      </c>
      <c r="F19" s="17"/>
      <c r="G19" s="17">
        <f>IF(OR(D19="",F19=""),"",D19*F19)</f>
      </c>
      <c r="H19" s="4"/>
    </row>
    <row r="20" spans="1:8" x14ac:dyDescent="0.25">
      <c r="A20" s="15">
        <v>13</v>
      </c>
      <c r="B20" s="4" t="s">
        <v>62</v>
      </c>
      <c r="C20" s="4" t="s">
        <v>63</v>
      </c>
      <c r="D20" s="16"/>
      <c r="E20" s="4" t="s">
        <v>38</v>
      </c>
      <c r="F20" s="17"/>
      <c r="G20" s="17">
        <f>IF(OR(D20="",F20=""),"",D20*F20)</f>
      </c>
      <c r="H20" s="4"/>
    </row>
    <row r="21" spans="1:8" x14ac:dyDescent="0.25">
      <c r="A21" s="15">
        <v>14</v>
      </c>
      <c r="B21" s="4" t="s">
        <v>64</v>
      </c>
      <c r="C21" s="4" t="s">
        <v>65</v>
      </c>
      <c r="D21" s="16"/>
      <c r="E21" s="4" t="s">
        <v>38</v>
      </c>
      <c r="F21" s="17"/>
      <c r="G21" s="17">
        <f>IF(OR(D21="",F21=""),"",D21*F21)</f>
      </c>
      <c r="H21" s="4"/>
    </row>
    <row r="22" spans="1:8" x14ac:dyDescent="0.25">
      <c r="A22" s="15">
        <v>15</v>
      </c>
      <c r="B22" s="4" t="s">
        <v>66</v>
      </c>
      <c r="C22" s="4" t="s">
        <v>67</v>
      </c>
      <c r="D22" s="16"/>
      <c r="E22" s="4" t="s">
        <v>38</v>
      </c>
      <c r="F22" s="17"/>
      <c r="G22" s="17">
        <f>IF(OR(D22="",F22=""),"",D22*F22)</f>
      </c>
      <c r="H22" s="4"/>
    </row>
    <row r="23" spans="1:8" x14ac:dyDescent="0.25">
      <c r="A23" s="15">
        <v>16</v>
      </c>
      <c r="B23" s="4" t="s">
        <v>68</v>
      </c>
      <c r="C23" s="4" t="s">
        <v>69</v>
      </c>
      <c r="D23" s="16"/>
      <c r="E23" s="4" t="s">
        <v>38</v>
      </c>
      <c r="F23" s="17"/>
      <c r="G23" s="17">
        <f>IF(OR(D23="",F23=""),"",D23*F23)</f>
      </c>
      <c r="H23" s="4"/>
    </row>
    <row r="24" spans="1:8" x14ac:dyDescent="0.25">
      <c r="A24" s="15">
        <v>17</v>
      </c>
      <c r="B24" s="4" t="s">
        <v>70</v>
      </c>
      <c r="C24" s="4" t="s">
        <v>71</v>
      </c>
      <c r="D24" s="16"/>
      <c r="E24" s="4" t="s">
        <v>38</v>
      </c>
      <c r="F24" s="17"/>
      <c r="G24" s="17">
        <f>IF(OR(D24="",F24=""),"",D24*F24)</f>
      </c>
      <c r="H24" s="4"/>
    </row>
    <row r="25" spans="1:8" x14ac:dyDescent="0.25">
      <c r="A25" s="18" t="s">
        <v>72</v>
      </c>
      <c r="B25" s="18"/>
      <c r="C25" s="18"/>
      <c r="D25" s="18"/>
      <c r="E25" s="18"/>
      <c r="F25" s="18"/>
      <c r="G25" s="19">
        <f>SUM(G19:G24)</f>
      </c>
      <c r="H25" s="4"/>
    </row>
    <row r="26" spans="1:8" x14ac:dyDescent="0.25">
      <c r="A26" s="14" t="s">
        <v>73</v>
      </c>
      <c r="B26" s="14"/>
      <c r="C26" s="14"/>
      <c r="D26" s="14"/>
      <c r="E26" s="14"/>
      <c r="F26" s="14"/>
      <c r="G26" s="14"/>
      <c r="H26" s="14"/>
    </row>
    <row r="27" spans="1:8" x14ac:dyDescent="0.25">
      <c r="A27" s="15">
        <v>18</v>
      </c>
      <c r="B27" s="4" t="s">
        <v>74</v>
      </c>
      <c r="C27" s="4" t="s">
        <v>75</v>
      </c>
      <c r="D27" s="16"/>
      <c r="E27" s="4" t="s">
        <v>35</v>
      </c>
      <c r="F27" s="17"/>
      <c r="G27" s="17">
        <f>IF(OR(D27="",F27=""),"",D27*F27)</f>
      </c>
      <c r="H27" s="4"/>
    </row>
    <row r="28" spans="1:8" x14ac:dyDescent="0.25">
      <c r="A28" s="15">
        <v>19</v>
      </c>
      <c r="B28" s="4" t="s">
        <v>76</v>
      </c>
      <c r="C28" s="4" t="s">
        <v>77</v>
      </c>
      <c r="D28" s="16"/>
      <c r="E28" s="4" t="s">
        <v>35</v>
      </c>
      <c r="F28" s="17"/>
      <c r="G28" s="17">
        <f>IF(OR(D28="",F28=""),"",D28*F28)</f>
      </c>
      <c r="H28" s="4"/>
    </row>
    <row r="29" spans="1:8" x14ac:dyDescent="0.25">
      <c r="A29" s="15">
        <v>20</v>
      </c>
      <c r="B29" s="4" t="s">
        <v>78</v>
      </c>
      <c r="C29" s="4" t="s">
        <v>79</v>
      </c>
      <c r="D29" s="16"/>
      <c r="E29" s="4" t="s">
        <v>38</v>
      </c>
      <c r="F29" s="17"/>
      <c r="G29" s="17">
        <f>IF(OR(D29="",F29=""),"",D29*F29)</f>
      </c>
      <c r="H29" s="4"/>
    </row>
    <row r="30" spans="1:8" x14ac:dyDescent="0.25">
      <c r="A30" s="15">
        <v>21</v>
      </c>
      <c r="B30" s="4" t="s">
        <v>80</v>
      </c>
      <c r="C30" s="4" t="s">
        <v>81</v>
      </c>
      <c r="D30" s="16"/>
      <c r="E30" s="4" t="s">
        <v>38</v>
      </c>
      <c r="F30" s="17"/>
      <c r="G30" s="17">
        <f>IF(OR(D30="",F30=""),"",D30*F30)</f>
      </c>
      <c r="H30" s="4"/>
    </row>
    <row r="31" spans="1:8" x14ac:dyDescent="0.25">
      <c r="A31" s="18" t="s">
        <v>82</v>
      </c>
      <c r="B31" s="18"/>
      <c r="C31" s="18"/>
      <c r="D31" s="18"/>
      <c r="E31" s="18"/>
      <c r="F31" s="18"/>
      <c r="G31" s="19">
        <f>SUM(G27:G30)</f>
      </c>
      <c r="H31" s="4"/>
    </row>
    <row r="32" spans="1:8" x14ac:dyDescent="0.25">
      <c r="A32" s="14" t="s">
        <v>83</v>
      </c>
      <c r="B32" s="14"/>
      <c r="C32" s="14"/>
      <c r="D32" s="14"/>
      <c r="E32" s="14"/>
      <c r="F32" s="14"/>
      <c r="G32" s="14"/>
      <c r="H32" s="14"/>
    </row>
    <row r="33" spans="1:8" x14ac:dyDescent="0.25">
      <c r="A33" s="15">
        <v>22</v>
      </c>
      <c r="B33" s="4" t="s">
        <v>84</v>
      </c>
      <c r="C33" s="4" t="s">
        <v>85</v>
      </c>
      <c r="D33" s="16"/>
      <c r="E33" s="4" t="s">
        <v>35</v>
      </c>
      <c r="F33" s="17"/>
      <c r="G33" s="17">
        <f>IF(OR(D33="",F33=""),"",D33*F33)</f>
      </c>
      <c r="H33" s="4"/>
    </row>
    <row r="34" spans="1:8" x14ac:dyDescent="0.25">
      <c r="A34" s="15">
        <v>23</v>
      </c>
      <c r="B34" s="4" t="s">
        <v>86</v>
      </c>
      <c r="C34" s="4" t="s">
        <v>87</v>
      </c>
      <c r="D34" s="16"/>
      <c r="E34" s="4" t="s">
        <v>38</v>
      </c>
      <c r="F34" s="17"/>
      <c r="G34" s="17">
        <f>IF(OR(D34="",F34=""),"",D34*F34)</f>
      </c>
      <c r="H34" s="4"/>
    </row>
    <row r="35" spans="1:8" x14ac:dyDescent="0.25">
      <c r="A35" s="15">
        <v>24</v>
      </c>
      <c r="B35" s="4" t="s">
        <v>88</v>
      </c>
      <c r="C35" s="4" t="s">
        <v>89</v>
      </c>
      <c r="D35" s="16"/>
      <c r="E35" s="4" t="s">
        <v>35</v>
      </c>
      <c r="F35" s="17"/>
      <c r="G35" s="17">
        <f>IF(OR(D35="",F35=""),"",D35*F35)</f>
      </c>
      <c r="H35" s="4"/>
    </row>
    <row r="36" spans="1:8" x14ac:dyDescent="0.25">
      <c r="A36" s="15">
        <v>25</v>
      </c>
      <c r="B36" s="4" t="s">
        <v>90</v>
      </c>
      <c r="C36" s="4" t="s">
        <v>91</v>
      </c>
      <c r="D36" s="16"/>
      <c r="E36" s="4" t="s">
        <v>92</v>
      </c>
      <c r="F36" s="17"/>
      <c r="G36" s="17">
        <f>IF(OR(D36="",F36=""),"",D36*F36)</f>
      </c>
      <c r="H36" s="4"/>
    </row>
    <row r="37" spans="1:8" x14ac:dyDescent="0.25">
      <c r="A37" s="18" t="s">
        <v>93</v>
      </c>
      <c r="B37" s="18"/>
      <c r="C37" s="18"/>
      <c r="D37" s="18"/>
      <c r="E37" s="18"/>
      <c r="F37" s="18"/>
      <c r="G37" s="19">
        <f>SUM(G33:G36)</f>
      </c>
      <c r="H37" s="4"/>
    </row>
    <row r="38" spans="1:8" x14ac:dyDescent="0.25">
      <c r="A38" s="14" t="s">
        <v>94</v>
      </c>
      <c r="B38" s="14"/>
      <c r="C38" s="14"/>
      <c r="D38" s="14"/>
      <c r="E38" s="14"/>
      <c r="F38" s="14"/>
      <c r="G38" s="14"/>
      <c r="H38" s="14"/>
    </row>
    <row r="39" spans="1:8" x14ac:dyDescent="0.25">
      <c r="A39" s="15">
        <v>26</v>
      </c>
      <c r="B39" s="4" t="s">
        <v>95</v>
      </c>
      <c r="C39" s="4" t="s">
        <v>96</v>
      </c>
      <c r="D39" s="16"/>
      <c r="E39" s="4" t="s">
        <v>35</v>
      </c>
      <c r="F39" s="17"/>
      <c r="G39" s="17">
        <f>IF(OR(D39="",F39=""),"",D39*F39)</f>
      </c>
      <c r="H39" s="4"/>
    </row>
    <row r="40" spans="1:8" x14ac:dyDescent="0.25">
      <c r="A40" s="15">
        <v>27</v>
      </c>
      <c r="B40" s="4" t="s">
        <v>97</v>
      </c>
      <c r="C40" s="4" t="s">
        <v>98</v>
      </c>
      <c r="D40" s="16"/>
      <c r="E40" s="4" t="s">
        <v>35</v>
      </c>
      <c r="F40" s="17"/>
      <c r="G40" s="17">
        <f>IF(OR(D40="",F40=""),"",D40*F40)</f>
      </c>
      <c r="H40" s="4"/>
    </row>
    <row r="41" spans="1:8" x14ac:dyDescent="0.25">
      <c r="A41" s="15">
        <v>28</v>
      </c>
      <c r="B41" s="4" t="s">
        <v>99</v>
      </c>
      <c r="C41" s="4" t="s">
        <v>100</v>
      </c>
      <c r="D41" s="16"/>
      <c r="E41" s="4" t="s">
        <v>35</v>
      </c>
      <c r="F41" s="17"/>
      <c r="G41" s="17">
        <f>IF(OR(D41="",F41=""),"",D41*F41)</f>
      </c>
      <c r="H41" s="4"/>
    </row>
    <row r="42" spans="1:8" x14ac:dyDescent="0.25">
      <c r="A42" s="15">
        <v>29</v>
      </c>
      <c r="B42" s="4" t="s">
        <v>101</v>
      </c>
      <c r="C42" s="4" t="s">
        <v>102</v>
      </c>
      <c r="D42" s="16"/>
      <c r="E42" s="4" t="s">
        <v>38</v>
      </c>
      <c r="F42" s="17"/>
      <c r="G42" s="17">
        <f>IF(OR(D42="",F42=""),"",D42*F42)</f>
      </c>
      <c r="H42" s="4"/>
    </row>
    <row r="43" spans="1:8" x14ac:dyDescent="0.25">
      <c r="A43" s="18" t="s">
        <v>103</v>
      </c>
      <c r="B43" s="18"/>
      <c r="C43" s="18"/>
      <c r="D43" s="18"/>
      <c r="E43" s="18"/>
      <c r="F43" s="18"/>
      <c r="G43" s="19">
        <f>SUM(G39:G42)</f>
      </c>
      <c r="H43" s="4"/>
    </row>
    <row r="44" spans="1:8" x14ac:dyDescent="0.25">
      <c r="A44" s="14" t="s">
        <v>104</v>
      </c>
      <c r="B44" s="14"/>
      <c r="C44" s="14"/>
      <c r="D44" s="14"/>
      <c r="E44" s="14"/>
      <c r="F44" s="14"/>
      <c r="G44" s="14"/>
      <c r="H44" s="14"/>
    </row>
    <row r="45" spans="1:8" x14ac:dyDescent="0.25">
      <c r="A45" s="15">
        <v>30</v>
      </c>
      <c r="B45" s="4" t="s">
        <v>105</v>
      </c>
      <c r="C45" s="4" t="s">
        <v>106</v>
      </c>
      <c r="D45" s="16"/>
      <c r="E45" s="4" t="s">
        <v>35</v>
      </c>
      <c r="F45" s="17"/>
      <c r="G45" s="17">
        <f>IF(OR(D45="",F45=""),"",D45*F45)</f>
      </c>
      <c r="H45" s="4"/>
    </row>
    <row r="46" spans="1:8" x14ac:dyDescent="0.25">
      <c r="A46" s="15">
        <v>31</v>
      </c>
      <c r="B46" s="4" t="s">
        <v>107</v>
      </c>
      <c r="C46" s="4" t="s">
        <v>108</v>
      </c>
      <c r="D46" s="16"/>
      <c r="E46" s="4" t="s">
        <v>35</v>
      </c>
      <c r="F46" s="17"/>
      <c r="G46" s="17">
        <f>IF(OR(D46="",F46=""),"",D46*F46)</f>
      </c>
      <c r="H46" s="4"/>
    </row>
    <row r="47" spans="1:8" x14ac:dyDescent="0.25">
      <c r="A47" s="15">
        <v>32</v>
      </c>
      <c r="B47" s="4" t="s">
        <v>109</v>
      </c>
      <c r="C47" s="4" t="s">
        <v>110</v>
      </c>
      <c r="D47" s="16"/>
      <c r="E47" s="4" t="s">
        <v>35</v>
      </c>
      <c r="F47" s="17"/>
      <c r="G47" s="17">
        <f>IF(OR(D47="",F47=""),"",D47*F47)</f>
      </c>
      <c r="H47" s="4"/>
    </row>
    <row r="48" spans="1:8" x14ac:dyDescent="0.25">
      <c r="A48" s="15">
        <v>33</v>
      </c>
      <c r="B48" s="4" t="s">
        <v>111</v>
      </c>
      <c r="C48" s="4" t="s">
        <v>112</v>
      </c>
      <c r="D48" s="16"/>
      <c r="E48" s="4" t="s">
        <v>38</v>
      </c>
      <c r="F48" s="17"/>
      <c r="G48" s="17">
        <f>IF(OR(D48="",F48=""),"",D48*F48)</f>
      </c>
      <c r="H48" s="4"/>
    </row>
    <row r="49" spans="1:8" x14ac:dyDescent="0.25">
      <c r="A49" s="18" t="s">
        <v>113</v>
      </c>
      <c r="B49" s="18"/>
      <c r="C49" s="18"/>
      <c r="D49" s="18"/>
      <c r="E49" s="18"/>
      <c r="F49" s="18"/>
      <c r="G49" s="19">
        <f>SUM(G45:G48)</f>
      </c>
      <c r="H49" s="4"/>
    </row>
    <row r="50" spans="1:8" x14ac:dyDescent="0.25">
      <c r="A50" s="14" t="s">
        <v>114</v>
      </c>
      <c r="B50" s="14"/>
      <c r="C50" s="14"/>
      <c r="D50" s="14"/>
      <c r="E50" s="14"/>
      <c r="F50" s="14"/>
      <c r="G50" s="14"/>
      <c r="H50" s="14"/>
    </row>
    <row r="51" spans="1:8" x14ac:dyDescent="0.25">
      <c r="A51" s="15">
        <v>34</v>
      </c>
      <c r="B51" s="4" t="s">
        <v>115</v>
      </c>
      <c r="C51" s="4" t="s">
        <v>116</v>
      </c>
      <c r="D51" s="16"/>
      <c r="E51" s="4" t="s">
        <v>38</v>
      </c>
      <c r="F51" s="17"/>
      <c r="G51" s="17">
        <f>IF(OR(D51="",F51=""),"",D51*F51)</f>
      </c>
      <c r="H51" s="4"/>
    </row>
    <row r="52" spans="1:8" x14ac:dyDescent="0.25">
      <c r="A52" s="15">
        <v>35</v>
      </c>
      <c r="B52" s="4" t="s">
        <v>117</v>
      </c>
      <c r="C52" s="4" t="s">
        <v>118</v>
      </c>
      <c r="D52" s="16"/>
      <c r="E52" s="4" t="s">
        <v>119</v>
      </c>
      <c r="F52" s="17"/>
      <c r="G52" s="17">
        <f>IF(OR(D52="",F52=""),"",D52*F52)</f>
      </c>
      <c r="H52" s="4"/>
    </row>
    <row r="53" spans="1:8" x14ac:dyDescent="0.25">
      <c r="A53" s="15">
        <v>36</v>
      </c>
      <c r="B53" s="4" t="s">
        <v>120</v>
      </c>
      <c r="C53" s="4" t="s">
        <v>121</v>
      </c>
      <c r="D53" s="16"/>
      <c r="E53" s="4" t="s">
        <v>119</v>
      </c>
      <c r="F53" s="17"/>
      <c r="G53" s="17">
        <f>IF(OR(D53="",F53=""),"",D53*F53)</f>
      </c>
      <c r="H53" s="4"/>
    </row>
    <row r="54" spans="1:8" x14ac:dyDescent="0.25">
      <c r="A54" s="18" t="s">
        <v>122</v>
      </c>
      <c r="B54" s="18"/>
      <c r="C54" s="18"/>
      <c r="D54" s="18"/>
      <c r="E54" s="18"/>
      <c r="F54" s="18"/>
      <c r="G54" s="19">
        <f>SUM(G51:G53)</f>
      </c>
      <c r="H54" s="4"/>
    </row>
    <row r="55" spans="1:8" x14ac:dyDescent="0.25">
      <c r="A55" s="14" t="s">
        <v>123</v>
      </c>
      <c r="B55" s="14"/>
      <c r="C55" s="14"/>
      <c r="D55" s="14"/>
      <c r="E55" s="14"/>
      <c r="F55" s="14"/>
      <c r="G55" s="14"/>
      <c r="H55" s="14"/>
    </row>
    <row r="56" spans="1:8" x14ac:dyDescent="0.25">
      <c r="A56" s="15">
        <v>37</v>
      </c>
      <c r="B56" s="4" t="s">
        <v>124</v>
      </c>
      <c r="C56" s="4" t="s">
        <v>125</v>
      </c>
      <c r="D56" s="16"/>
      <c r="E56" s="4" t="s">
        <v>38</v>
      </c>
      <c r="F56" s="17"/>
      <c r="G56" s="17">
        <f>IF(OR(D56="",F56=""),"",D56*F56)</f>
      </c>
      <c r="H56" s="4"/>
    </row>
    <row r="57" spans="1:8" x14ac:dyDescent="0.25">
      <c r="A57" s="15">
        <v>38</v>
      </c>
      <c r="B57" s="4" t="s">
        <v>126</v>
      </c>
      <c r="C57" s="4" t="s">
        <v>127</v>
      </c>
      <c r="D57" s="16"/>
      <c r="E57" s="4" t="s">
        <v>38</v>
      </c>
      <c r="F57" s="17"/>
      <c r="G57" s="17">
        <f>IF(OR(D57="",F57=""),"",D57*F57)</f>
      </c>
      <c r="H57" s="4"/>
    </row>
    <row r="58" spans="1:8" x14ac:dyDescent="0.25">
      <c r="A58" s="15">
        <v>39</v>
      </c>
      <c r="B58" s="4" t="s">
        <v>128</v>
      </c>
      <c r="C58" s="4" t="s">
        <v>129</v>
      </c>
      <c r="D58" s="16"/>
      <c r="E58" s="4" t="s">
        <v>130</v>
      </c>
      <c r="F58" s="17"/>
      <c r="G58" s="17">
        <f>IF(OR(D58="",F58=""),"",D58*F58)</f>
      </c>
      <c r="H58" s="4"/>
    </row>
    <row r="59" spans="1:8" x14ac:dyDescent="0.25">
      <c r="A59" s="15">
        <v>40</v>
      </c>
      <c r="B59" s="4" t="s">
        <v>131</v>
      </c>
      <c r="C59" s="4" t="s">
        <v>132</v>
      </c>
      <c r="D59" s="16"/>
      <c r="E59" s="4" t="s">
        <v>130</v>
      </c>
      <c r="F59" s="17"/>
      <c r="G59" s="17">
        <f>IF(OR(D59="",F59=""),"",D59*F59)</f>
      </c>
      <c r="H59" s="4"/>
    </row>
    <row r="60" spans="1:8" x14ac:dyDescent="0.25">
      <c r="A60" s="18" t="s">
        <v>133</v>
      </c>
      <c r="B60" s="18"/>
      <c r="C60" s="18"/>
      <c r="D60" s="18"/>
      <c r="E60" s="18"/>
      <c r="F60" s="18"/>
      <c r="G60" s="19">
        <f>SUM(G56:G59)</f>
      </c>
      <c r="H60" s="4"/>
    </row>
    <row r="61" spans="1:8" x14ac:dyDescent="0.25">
      <c r="A61" s="14" t="s">
        <v>134</v>
      </c>
      <c r="B61" s="14"/>
      <c r="C61" s="14"/>
      <c r="D61" s="14"/>
      <c r="E61" s="14"/>
      <c r="F61" s="14"/>
      <c r="G61" s="14"/>
      <c r="H61" s="14"/>
    </row>
    <row r="62" spans="1:8" x14ac:dyDescent="0.25">
      <c r="A62" s="15">
        <v>41</v>
      </c>
      <c r="B62" s="4" t="s">
        <v>135</v>
      </c>
      <c r="C62" s="4" t="s">
        <v>136</v>
      </c>
      <c r="D62" s="16"/>
      <c r="E62" s="4" t="s">
        <v>38</v>
      </c>
      <c r="F62" s="17"/>
      <c r="G62" s="17">
        <f>IF(OR(D62="",F62=""),"",D62*F62)</f>
      </c>
      <c r="H62" s="4"/>
    </row>
    <row r="63" spans="1:8" x14ac:dyDescent="0.25">
      <c r="A63" s="15">
        <v>42</v>
      </c>
      <c r="B63" s="4" t="s">
        <v>137</v>
      </c>
      <c r="C63" s="4" t="s">
        <v>138</v>
      </c>
      <c r="D63" s="16"/>
      <c r="E63" s="4" t="s">
        <v>38</v>
      </c>
      <c r="F63" s="17"/>
      <c r="G63" s="17">
        <f>IF(OR(D63="",F63=""),"",D63*F63)</f>
      </c>
      <c r="H63" s="4"/>
    </row>
    <row r="64" spans="1:8" x14ac:dyDescent="0.25">
      <c r="A64" s="15">
        <v>43</v>
      </c>
      <c r="B64" s="4" t="s">
        <v>139</v>
      </c>
      <c r="C64" s="4" t="s">
        <v>140</v>
      </c>
      <c r="D64" s="16"/>
      <c r="E64" s="4" t="s">
        <v>38</v>
      </c>
      <c r="F64" s="17"/>
      <c r="G64" s="17">
        <f>IF(OR(D64="",F64=""),"",D64*F64)</f>
      </c>
      <c r="H64" s="4"/>
    </row>
    <row r="65" spans="1:8" x14ac:dyDescent="0.25">
      <c r="A65" s="18" t="s">
        <v>141</v>
      </c>
      <c r="B65" s="18"/>
      <c r="C65" s="18"/>
      <c r="D65" s="18"/>
      <c r="E65" s="18"/>
      <c r="F65" s="18"/>
      <c r="G65" s="19">
        <f>SUM(G62:G64)</f>
      </c>
      <c r="H65" s="4"/>
    </row>
    <row r="66" spans="1:8" x14ac:dyDescent="0.25">
      <c r="A66" s="14" t="s">
        <v>142</v>
      </c>
      <c r="B66" s="14"/>
      <c r="C66" s="14"/>
      <c r="D66" s="14"/>
      <c r="E66" s="14"/>
      <c r="F66" s="14"/>
      <c r="G66" s="14"/>
      <c r="H66" s="14"/>
    </row>
    <row r="67" spans="1:8" x14ac:dyDescent="0.25">
      <c r="A67" s="15">
        <v>44</v>
      </c>
      <c r="B67" s="4" t="s">
        <v>143</v>
      </c>
      <c r="C67" s="4" t="s">
        <v>144</v>
      </c>
      <c r="D67" s="16"/>
      <c r="E67" s="4" t="s">
        <v>38</v>
      </c>
      <c r="F67" s="17"/>
      <c r="G67" s="17">
        <f>IF(OR(D67="",F67=""),"",D67*F67)</f>
      </c>
      <c r="H67" s="4"/>
    </row>
    <row r="68" spans="1:8" x14ac:dyDescent="0.25">
      <c r="A68" s="15">
        <v>45</v>
      </c>
      <c r="B68" s="4" t="s">
        <v>145</v>
      </c>
      <c r="C68" s="4" t="s">
        <v>146</v>
      </c>
      <c r="D68" s="16"/>
      <c r="E68" s="4" t="s">
        <v>38</v>
      </c>
      <c r="F68" s="17"/>
      <c r="G68" s="17">
        <f>IF(OR(D68="",F68=""),"",D68*F68)</f>
      </c>
      <c r="H68" s="4"/>
    </row>
    <row r="69" spans="1:8" x14ac:dyDescent="0.25">
      <c r="A69" s="15">
        <v>46</v>
      </c>
      <c r="B69" s="4" t="s">
        <v>147</v>
      </c>
      <c r="C69" s="4" t="s">
        <v>148</v>
      </c>
      <c r="D69" s="16"/>
      <c r="E69" s="4" t="s">
        <v>38</v>
      </c>
      <c r="F69" s="17"/>
      <c r="G69" s="17">
        <f>IF(OR(D69="",F69=""),"",D69*F69)</f>
      </c>
      <c r="H69" s="4"/>
    </row>
    <row r="70" spans="1:8" x14ac:dyDescent="0.25">
      <c r="A70" s="18" t="s">
        <v>149</v>
      </c>
      <c r="B70" s="18"/>
      <c r="C70" s="18"/>
      <c r="D70" s="18"/>
      <c r="E70" s="18"/>
      <c r="F70" s="18"/>
      <c r="G70" s="19">
        <f>SUM(G67:G69)</f>
      </c>
      <c r="H70" s="4"/>
    </row>
    <row r="71" spans="1:8" x14ac:dyDescent="0.25">
      <c r="A71" s="14" t="s">
        <v>150</v>
      </c>
      <c r="B71" s="14"/>
      <c r="C71" s="14"/>
      <c r="D71" s="14"/>
      <c r="E71" s="14"/>
      <c r="F71" s="14"/>
      <c r="G71" s="14"/>
      <c r="H71" s="14"/>
    </row>
    <row r="72" spans="1:8" x14ac:dyDescent="0.25">
      <c r="A72" s="15">
        <v>47</v>
      </c>
      <c r="B72" s="4" t="s">
        <v>151</v>
      </c>
      <c r="C72" s="4" t="s">
        <v>152</v>
      </c>
      <c r="D72" s="16"/>
      <c r="E72" s="4" t="s">
        <v>38</v>
      </c>
      <c r="F72" s="17"/>
      <c r="G72" s="17">
        <f>IF(OR(D72="",F72=""),"",D72*F72)</f>
      </c>
      <c r="H72" s="4"/>
    </row>
    <row r="73" spans="1:8" x14ac:dyDescent="0.25">
      <c r="A73" s="15">
        <v>48</v>
      </c>
      <c r="B73" s="4" t="s">
        <v>153</v>
      </c>
      <c r="C73" s="4" t="s">
        <v>154</v>
      </c>
      <c r="D73" s="16"/>
      <c r="E73" s="4" t="s">
        <v>38</v>
      </c>
      <c r="F73" s="17"/>
      <c r="G73" s="17">
        <f>IF(OR(D73="",F73=""),"",D73*F73)</f>
      </c>
      <c r="H73" s="4"/>
    </row>
    <row r="74" spans="1:8" x14ac:dyDescent="0.25">
      <c r="A74" s="15">
        <v>49</v>
      </c>
      <c r="B74" s="4" t="s">
        <v>155</v>
      </c>
      <c r="C74" s="4" t="s">
        <v>156</v>
      </c>
      <c r="D74" s="16"/>
      <c r="E74" s="4" t="s">
        <v>38</v>
      </c>
      <c r="F74" s="17"/>
      <c r="G74" s="17">
        <f>IF(OR(D74="",F74=""),"",D74*F74)</f>
      </c>
      <c r="H74" s="4"/>
    </row>
    <row r="75" spans="1:8" x14ac:dyDescent="0.25">
      <c r="A75" s="18" t="s">
        <v>157</v>
      </c>
      <c r="B75" s="18"/>
      <c r="C75" s="18"/>
      <c r="D75" s="18"/>
      <c r="E75" s="18"/>
      <c r="F75" s="18"/>
      <c r="G75" s="19">
        <f>SUM(G72:G74)</f>
      </c>
      <c r="H75" s="4"/>
    </row>
    <row r="76" spans="1:8" x14ac:dyDescent="0.25">
      <c r="A76" s="20" t="s">
        <v>158</v>
      </c>
      <c r="B76" s="20"/>
      <c r="C76" s="20"/>
      <c r="D76" s="20"/>
      <c r="E76" s="20"/>
      <c r="F76" s="20"/>
      <c r="G76" s="19">
        <f>SUM(G8,G17,G25,G31,G37,G43,G49,G54,G60,G65,G70,G75)</f>
      </c>
      <c r="H76" s="21" t="s">
        <v>6</v>
      </c>
    </row>
    <row r="77" spans="1:8" x14ac:dyDescent="0.25">
      <c r="A77" s="20" t="s">
        <v>159</v>
      </c>
      <c r="B77" s="20"/>
      <c r="C77" s="20"/>
      <c r="D77" s="20"/>
      <c r="E77" s="20"/>
      <c r="F77" s="20"/>
      <c r="G77" s="19">
        <f>ROUND(G76*0.05,0)</f>
      </c>
      <c r="H77" s="21" t="s">
        <v>160</v>
      </c>
    </row>
    <row r="78" spans="1:8" x14ac:dyDescent="0.25">
      <c r="A78" s="20" t="s">
        <v>161</v>
      </c>
      <c r="B78" s="20"/>
      <c r="C78" s="20"/>
      <c r="D78" s="20"/>
      <c r="E78" s="20"/>
      <c r="F78" s="20"/>
      <c r="G78" s="19">
        <f>ROUND(G76*0.08,0)</f>
      </c>
      <c r="H78" s="21" t="s">
        <v>162</v>
      </c>
    </row>
    <row r="79" spans="1:8" x14ac:dyDescent="0.25">
      <c r="A79" s="20" t="s">
        <v>163</v>
      </c>
      <c r="B79" s="20"/>
      <c r="C79" s="20"/>
      <c r="D79" s="20"/>
      <c r="E79" s="20"/>
      <c r="F79" s="20"/>
      <c r="G79" s="19">
        <f>ROUND(G76*0.3*0.16,0)</f>
      </c>
      <c r="H79" s="21" t="s">
        <v>164</v>
      </c>
    </row>
    <row r="80" spans="1:8" x14ac:dyDescent="0.25">
      <c r="A80" s="20" t="s">
        <v>165</v>
      </c>
      <c r="B80" s="20"/>
      <c r="C80" s="20"/>
      <c r="D80" s="20"/>
      <c r="E80" s="20"/>
      <c r="F80" s="20"/>
      <c r="G80" s="19"/>
      <c r="H80" s="21" t="s">
        <v>166</v>
      </c>
    </row>
    <row r="81" ht="6" customHeight="1" x14ac:dyDescent="0.25"/>
    <row r="82" ht="6" customHeight="1" x14ac:dyDescent="0.25"/>
    <row r="83" ht="6" customHeight="1" x14ac:dyDescent="0.25"/>
    <row r="84" ht="6" customHeight="1" x14ac:dyDescent="0.25"/>
    <row r="85" ht="6" customHeight="1" x14ac:dyDescent="0.25"/>
    <row r="86" spans="1:8" x14ac:dyDescent="0.25">
      <c r="A86" s="20" t="s">
        <v>20</v>
      </c>
      <c r="B86" s="20"/>
      <c r="C86" s="20"/>
      <c r="D86" s="20"/>
      <c r="E86" s="20"/>
      <c r="F86" s="20"/>
      <c r="G86" s="19">
        <f>G76+G77+G78+G79+G80</f>
      </c>
      <c r="H86" s="21" t="s">
        <v>6</v>
      </c>
    </row>
    <row r="87" spans="1:8" x14ac:dyDescent="0.25">
      <c r="A87" s="20" t="s">
        <v>21</v>
      </c>
      <c r="B87" s="20"/>
      <c r="C87" s="20"/>
      <c r="D87" s="20"/>
      <c r="E87" s="20"/>
      <c r="F87" s="20"/>
      <c r="G87" s="19">
        <f>ROUND(G86*0.1,0)</f>
      </c>
      <c r="H87" s="21" t="s">
        <v>6</v>
      </c>
    </row>
    <row r="88" spans="1:8" x14ac:dyDescent="0.25">
      <c r="A88" s="22" t="s">
        <v>167</v>
      </c>
      <c r="B88" s="22"/>
      <c r="C88" s="22"/>
      <c r="D88" s="22"/>
      <c r="E88" s="22"/>
      <c r="F88" s="22"/>
      <c r="G88" s="23">
        <f>G86+G87</f>
      </c>
      <c r="H88" s="21" t="s">
        <v>6</v>
      </c>
    </row>
  </sheetData>
  <mergeCells count="33">
    <mergeCell ref="A1:H1"/>
    <mergeCell ref="A3:H3"/>
    <mergeCell ref="A8:F8"/>
    <mergeCell ref="A9:H9"/>
    <mergeCell ref="A17:F17"/>
    <mergeCell ref="A18:H18"/>
    <mergeCell ref="A25:F25"/>
    <mergeCell ref="A26:H26"/>
    <mergeCell ref="A31:F31"/>
    <mergeCell ref="A32:H32"/>
    <mergeCell ref="A37:F37"/>
    <mergeCell ref="A38:H38"/>
    <mergeCell ref="A43:F43"/>
    <mergeCell ref="A44:H44"/>
    <mergeCell ref="A49:F49"/>
    <mergeCell ref="A50:H50"/>
    <mergeCell ref="A54:F54"/>
    <mergeCell ref="A55:H55"/>
    <mergeCell ref="A60:F60"/>
    <mergeCell ref="A61:H61"/>
    <mergeCell ref="A65:F65"/>
    <mergeCell ref="A66:H66"/>
    <mergeCell ref="A70:F70"/>
    <mergeCell ref="A71:H71"/>
    <mergeCell ref="A75:F75"/>
    <mergeCell ref="A76:F76"/>
    <mergeCell ref="A77:F77"/>
    <mergeCell ref="A78:F78"/>
    <mergeCell ref="A79:F79"/>
    <mergeCell ref="A80:F80"/>
    <mergeCell ref="A86:F86"/>
    <mergeCell ref="A87:F87"/>
    <mergeCell ref="A88:F88"/>
  </mergeCells>
  <pageMargins left="0.6" right="0.6" top="0.7" bottom="0.7" header="0.3" footer="0.3"/>
  <pageSetup paperSize="9"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9"/>
  <sheetFormatPr defaultRowHeight="15" outlineLevelRow="0" outlineLevelCol="0" x14ac:dyDescent="55"/>
  <cols>
    <col min="1" max="1" width="4" customWidth="1"/>
    <col min="2" max="2" width="100" customWidth="1"/>
  </cols>
  <sheetData>
    <row r="2" spans="2:2" x14ac:dyDescent="0.25">
      <c r="B2" s="24" t="s">
        <v>168</v>
      </c>
    </row>
    <row r="3" spans="2:2" x14ac:dyDescent="0.25">
      <c r="B3" s="25" t="s">
        <v>169</v>
      </c>
    </row>
    <row r="4" spans="2:2" x14ac:dyDescent="0.25">
      <c r="B4" s="25" t="s">
        <v>170</v>
      </c>
    </row>
    <row r="5" spans="2:2" x14ac:dyDescent="0.25">
      <c r="B5" s="25" t="s">
        <v>6</v>
      </c>
    </row>
    <row r="6" spans="2:2" x14ac:dyDescent="0.25">
      <c r="B6" s="24" t="s">
        <v>171</v>
      </c>
    </row>
    <row r="7" spans="2:2" x14ac:dyDescent="0.25">
      <c r="B7" s="25" t="s">
        <v>172</v>
      </c>
    </row>
    <row r="8" spans="2:2" x14ac:dyDescent="0.25">
      <c r="B8" s="25" t="s">
        <v>173</v>
      </c>
    </row>
    <row r="9" spans="2:2" x14ac:dyDescent="0.25">
      <c r="B9" s="25" t="s">
        <v>174</v>
      </c>
    </row>
    <row r="10" spans="2:2" x14ac:dyDescent="0.25">
      <c r="B10" s="25" t="s">
        <v>6</v>
      </c>
    </row>
    <row r="11" spans="2:2" x14ac:dyDescent="0.25">
      <c r="B11" s="24" t="s">
        <v>175</v>
      </c>
    </row>
    <row r="12" spans="2:2" x14ac:dyDescent="0.25">
      <c r="B12" s="25" t="s">
        <v>176</v>
      </c>
    </row>
    <row r="13" spans="2:2" x14ac:dyDescent="0.25">
      <c r="B13" s="25" t="s">
        <v>177</v>
      </c>
    </row>
    <row r="14" spans="2:2" x14ac:dyDescent="0.25">
      <c r="B14" s="25" t="s">
        <v>178</v>
      </c>
    </row>
    <row r="15" spans="2:2" x14ac:dyDescent="0.25">
      <c r="B15" s="25" t="s">
        <v>179</v>
      </c>
    </row>
    <row r="16" spans="2:2" x14ac:dyDescent="0.25">
      <c r="B16" s="25" t="s">
        <v>6</v>
      </c>
    </row>
    <row r="17" spans="2:2" x14ac:dyDescent="0.25">
      <c r="B17" s="24" t="s">
        <v>180</v>
      </c>
    </row>
    <row r="18" spans="2:2" x14ac:dyDescent="0.25">
      <c r="B18" s="25" t="s">
        <v>181</v>
      </c>
    </row>
    <row r="19" spans="2:2" x14ac:dyDescent="0.25">
      <c r="B19" s="25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内訳明細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ARCHI</dc:creator>
  <dc:title/>
  <dc:subject/>
  <dc:description/>
  <cp:keywords/>
  <cp:category/>
  <cp:lastModifiedBy>Unknown</cp:lastModifiedBy>
  <dcterms:created xsi:type="dcterms:W3CDTF">2026-07-11T21:56:21Z</dcterms:created>
  <dcterms:modified xsi:type="dcterms:W3CDTF">2026-07-11T21:56:21Z</dcterms:modified>
</cp:coreProperties>
</file>